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อ่านก่อน" sheetId="1" r:id="rId1"/>
    <sheet name="แจกแจงทรัพย์" sheetId="2" r:id="rId2"/>
  </sheets>
  <calcPr calcId="124519" fullCalcOnLoad="1"/>
</workbook>
</file>

<file path=xl/sharedStrings.xml><?xml version="1.0" encoding="utf-8"?>
<sst xmlns="http://schemas.openxmlformats.org/spreadsheetml/2006/main" count="105" uniqueCount="105">
  <si>
    <t xml:space="preserve">SRI OS — แจกแจงทรัพย์สินต่อผู้ถือ</t>
  </si>
  <si>
    <t xml:space="preserve">ลิสต์ทรัพย์ทีละชิ้น → ได้ยอดรวมต่อผู้ถือต่อบรรทัดงบดุล → เอาไปใส่ในไฟล์ยอดตั้งต้นงบดุล</t>
  </si>
  <si>
    <t xml:space="preserve">ไฟล์นี้ใช้ทำอะไร</t>
  </si>
  <si>
    <t xml:space="preserve">ปัญหาที่แก้</t>
  </si>
  <si>
    <t xml:space="preserve">ไฟล์ยอดตั้งต้นงบดุลให้กรอกยอดรวมต่อบัญชี แต่ไม่มีที่ให้แจกแจงว่ายอดนั้นมาจากทรัพย์ชิ้นไหนบ้าง ถ้าบวกผิดจะไม่มีอะไรจับได้</t>
  </si>
  <si>
    <t xml:space="preserve">วิธีใช้</t>
  </si>
  <si>
    <t xml:space="preserve">กรอกในชีท "แจกแจงทรัพย์" ทีละชิ้น แล้วอ่านตารางสรุปด้านล่างของชีทนั้น</t>
  </si>
  <si>
    <t xml:space="preserve">1</t>
  </si>
  <si>
    <t xml:space="preserve">ลิสต์ทรัพย์ทีละชิ้น</t>
  </si>
  <si>
    <t xml:space="preserve">คอนโด 2 ห้อง = 2 บรรทัด · ที่ดิน 3 แปลง = 3 บรรทัด ใส่ผู้ถือและบรรทัดในงบดุลให้ครบทุกบรรทัด</t>
  </si>
  <si>
    <t xml:space="preserve">2</t>
  </si>
  <si>
    <t xml:space="preserve">อ่านตารางสรุป</t>
  </si>
  <si>
    <t xml:space="preserve">สรุปให้เองว่า ผู้ถือคนนี้ บรรทัดนี้ มีกี่รายการ รวมเท่าไหร่ (เช่น ธนากร · 1500 · 2 รายการ · 8,000,000)</t>
  </si>
  <si>
    <t xml:space="preserve">3</t>
  </si>
  <si>
    <t xml:space="preserve">เอายอดไปใส่ในงบดุล</t>
  </si>
  <si>
    <t xml:space="preserve">เปิด SRI_OS_2_ยอดตั้งต้นงบดุล.xlsx ชีทของผู้ถือคนนั้น ใส่ยอดในบรรทัดบัญชีเดียวกัน</t>
  </si>
  <si>
    <t xml:space="preserve">4</t>
  </si>
  <si>
    <t xml:space="preserve">กรอกยอดกลับมาที่ช่องตรวจ</t>
  </si>
  <si>
    <t xml:space="preserve">คอลัมน์ "ยอดที่กรอกในงบดุล" ในตารางสรุป — ถ้าต่างจากยอดรวม ช่อง "ผลต่าง" จะโชว์เป็นตัวเลข และ "สถานะ" จะขึ้นว่า ต่างกัน</t>
  </si>
  <si>
    <t xml:space="preserve">กฎที่ห้ามพลาด</t>
  </si>
  <si>
    <t xml:space="preserve">!</t>
  </si>
  <si>
    <t xml:space="preserve">ทรัพย์แต่ละชิ้นมีต้นทุนของตัวเอง ห้ามเฉลี่ยข้ามชิ้น</t>
  </si>
  <si>
    <t xml:space="preserve">D-117 — "แยกทรัพย์สินแม้จะอยู่คอนโดเดียวกัน แต่คนละห้องก็แยก จะไม่นำต้นทุนมาคำนวณหรือเฉลี่ยเด็ดขาด" คอนโดคนละห้องคือคนละชิ้น ต้นทุนของแต่ละห้องคือราคาที่ซื้อห้องนั้นจริง (เฉลี่ยต้นทุนได้เฉพาะหุ้นในตลาดและคริปโต ซึ่งไม่อยู่ในไฟล์นี้)</t>
  </si>
  <si>
    <t xml:space="preserve">ค่ารีโนเวทเป็นอีกบรรทัดในงบดุล</t>
  </si>
  <si>
    <t xml:space="preserve">ค่าปรับปรุงที่บันทึกเป็นทุนไปลงบัญชี 1510 ไม่รวมกับต้นทุนทรัพย์ (1500) กรอกในคอลัมน์ "ค่ารีโนเวทสะสม" ของทรัพย์ชิ้นนั้น ไม่ต้องสร้างบรรทัดใหม่</t>
  </si>
  <si>
    <t xml:space="preserve">เงินที่ปล่อยออกไปเป็นสินทรัพย์</t>
  </si>
  <si>
    <t xml:space="preserve">ปล่อยกู้ (1300) ขายฝาก (1400) จำนอง (1410) คือลูกหนี้ของเรา ไม่ใช่ค่าใช้จ่าย และไม่ใช่หนี้สิน</t>
  </si>
  <si>
    <t xml:space="preserve">ห้ามหักหนี้ออกจากทรัพย์</t>
  </si>
  <si>
    <t xml:space="preserve">คอนโดติดจำนองอยู่ ให้ลงต้นทุนเต็มจำนวนที่นี่ ส่วนยอดหนี้ไปลงฝั่งหนี้สินในไฟล์งบดุล ห้าม net กัน</t>
  </si>
  <si>
    <t xml:space="preserve">ยอดตั้งต้นต้องเป็นวันตัดยอดเดียวกับไฟล์อื่น</t>
  </si>
  <si>
    <t xml:space="preserve">ใช้วันตัดยอดเดียวกันทั้งชุด ไม่งั้นงบดุลไม่ลงตัว</t>
  </si>
  <si>
    <t xml:space="preserve">เรื่องเทคนิคที่ควรรู้</t>
  </si>
  <si>
    <t xml:space="preserve">สูตรในไฟล์นี้เป็นตัวช่วยของลูกพี่</t>
  </si>
  <si>
    <t xml:space="preserve">เวลา import ระบบจะคำนวณยอดรวมใหม่เองจากบรรทัดที่กรอก ไม่เชื่อผลสูตรใน Excel</t>
  </si>
  <si>
    <t xml:space="preserve">แถวสีเทาเอียงคือตัวอย่าง</t>
  </si>
  <si>
    <t xml:space="preserve">คอนโด 2 ห้องของธนากร (3,000,000 + 5,000,000 = 8,000,000) ลบทิ้งได้เลย</t>
  </si>
  <si>
    <t xml:space="preserve">กรอกได้ถึงแถว 205</t>
  </si>
  <si>
    <t xml:space="preserve">ถ้าต้องการมากกว่านี้ ให้แทรกแถวกลางตาราง (Excel จะขยายช่วงสูตรให้เอง) ห้ามพิมพ์ทับตารางสรุป</t>
  </si>
  <si>
    <t xml:space="preserve">ไฟล์นี้สร้างจากสคริปต์</t>
  </si>
  <si>
    <t xml:space="preserve">scripts/make-breakdown-template.py — แก้ที่สคริปต์แล้ว generate ใหม่ ไม่แก้ .xlsx ด้วยมือ</t>
  </si>
  <si>
    <t xml:space="preserve">แจกแจงทรัพย์สินต่อผู้ถือ → ยอดในงบดุล</t>
  </si>
  <si>
    <t xml:space="preserve">กรอกทรัพย์ทีละชิ้นในตารางนี้ (แถว 6 ถึง 205) แล้วอ่านยอดรวมในตารางสรุปด้านล่าง · ทรัพย์แต่ละชิ้นมีต้นทุนของตัวเอง ห้ามเฉลี่ยข้ามชิ้น (D-117)</t>
  </si>
  <si>
    <t xml:space="preserve">ถือในชื่อ *</t>
  </si>
  <si>
    <t xml:space="preserve">เลือกจากรายชื่อผู้ถือ — ต้องตรงกับชื่อชีทงบดุลใน SRI_OS_2</t>
  </si>
  <si>
    <t xml:space="preserve">รหัสทรัพย์</t>
  </si>
  <si>
    <t xml:space="preserve">ถ้ามีในชีท '4 ทะเบียนทรัพย์สิน' ใส่รหัสเดียวกัน</t>
  </si>
  <si>
    <t xml:space="preserve">ชื่อทรัพย์ *</t>
  </si>
  <si>
    <t xml:space="preserve">ระบุให้แยกชิ้นได้จริง เช่น เลขห้อง/เลขโฉนด</t>
  </si>
  <si>
    <t xml:space="preserve">บรรทัดในงบดุล *</t>
  </si>
  <si>
    <t xml:space="preserve">เลือกรหัสบัญชีที่ยอดนี้ไปลง (ดูชื่อบัญชีในตารางสรุปด้านล่าง)</t>
  </si>
  <si>
    <t xml:space="preserve">ต้นทุน *</t>
  </si>
  <si>
    <t xml:space="preserve">ราคาที่ได้มาจริงของชิ้นนี้ ห้ามเฉลี่ยข้ามชิ้น (D-117)</t>
  </si>
  <si>
    <t xml:space="preserve">ค่ารีโนเวทสะสม</t>
  </si>
  <si>
    <t xml:space="preserve">ค่าปรับปรุงที่บันทึกเป็นทุน — ยอดนี้ไปลงบัญชี 1510 ไม่รวมในต้นทุน</t>
  </si>
  <si>
    <t xml:space="preserve">หมายเหตุ</t>
  </si>
  <si>
    <t xml:space="preserve">ที่มาของตัวเลข เอกสารอ้างอิง หรือข้อสงสัย</t>
  </si>
  <si>
    <t xml:space="preserve">ธนากร</t>
  </si>
  <si>
    <t xml:space="preserve">CONDO-A</t>
  </si>
  <si>
    <t xml:space="preserve">คอนโด ลุมพินี ห้อง 1203</t>
  </si>
  <si>
    <t xml:space="preserve">1500</t>
  </si>
  <si>
    <t xml:space="preserve">ตัวอย่าง — ลบได้</t>
  </si>
  <si>
    <t xml:space="preserve">CONDO-B</t>
  </si>
  <si>
    <t xml:space="preserve">คอนโด ลุมพินี ห้อง 1507</t>
  </si>
  <si>
    <t xml:space="preserve">ตัวอย่าง — ลบได้ · ค่ารีโนเวท 500,000 ไปลงบัญชี 1510</t>
  </si>
  <si>
    <t xml:space="preserve">ตารางสรุปอัตโนมัติ — ยอดรวมต่อผู้ถือ × ต่อบรรทัดงบดุล</t>
  </si>
  <si>
    <t xml:space="preserve">ผู้ถือ</t>
  </si>
  <si>
    <t xml:space="preserve">บรรทัดในงบดุล</t>
  </si>
  <si>
    <t xml:space="preserve">ชื่อบัญชี</t>
  </si>
  <si>
    <t xml:space="preserve">จำนวนรายการ</t>
  </si>
  <si>
    <t xml:space="preserve">รวมต้นทุน</t>
  </si>
  <si>
    <t xml:space="preserve">รวมค่ารีโนเวท (ไปลงบัญชี 1510)</t>
  </si>
  <si>
    <t xml:space="preserve">ยอดที่ไปลงบัญชีนี้</t>
  </si>
  <si>
    <t xml:space="preserve">ยอดที่กรอกในงบดุล</t>
  </si>
  <si>
    <t xml:space="preserve">ผลต่าง</t>
  </si>
  <si>
    <t xml:space="preserve">สถานะ</t>
  </si>
  <si>
    <t xml:space="preserve">SRI Corporation</t>
  </si>
  <si>
    <t xml:space="preserve">อสังหาริมทรัพย์เพื่อการลงทุน เพื่อการเช่า</t>
  </si>
  <si>
    <t xml:space="preserve">1520</t>
  </si>
  <si>
    <t xml:space="preserve">อสังหาริมทรัพย์เพื่อการลงทุน เพื่อการขาย</t>
  </si>
  <si>
    <t xml:space="preserve">1510</t>
  </si>
  <si>
    <t xml:space="preserve">ค่ารีโนเวท (บันทึกเป็นทุน)</t>
  </si>
  <si>
    <t xml:space="preserve">1300</t>
  </si>
  <si>
    <t xml:space="preserve">เงินให้กู้ยืม - เงินต้น</t>
  </si>
  <si>
    <t xml:space="preserve">1320</t>
  </si>
  <si>
    <t xml:space="preserve">เงินให้กู้ยืมแบบมีสินทรัพย์ค้ำประกัน - เงินต้น</t>
  </si>
  <si>
    <t xml:space="preserve">1400</t>
  </si>
  <si>
    <t xml:space="preserve">เงินลงทุนขายฝาก - เงินต้น</t>
  </si>
  <si>
    <t xml:space="preserve">1410</t>
  </si>
  <si>
    <t xml:space="preserve">เงินลงทุนจำนอง - เงินต้น</t>
  </si>
  <si>
    <t xml:space="preserve">1600</t>
  </si>
  <si>
    <t xml:space="preserve">เงินมัดจำจ่าย</t>
  </si>
  <si>
    <t xml:space="preserve">สุธี</t>
  </si>
  <si>
    <t xml:space="preserve">ธนวินท์</t>
  </si>
  <si>
    <t xml:space="preserve">เบ็ญจพร</t>
  </si>
  <si>
    <t xml:space="preserve">สุดจิตต์</t>
  </si>
  <si>
    <t xml:space="preserve">ช่องตรวจ — ทุกช่องต้องเป็น 0 ถ้าไม่ใช่ 0 แปลว่ามีอะไรไม่ตรง ห้ามข้าม</t>
  </si>
  <si>
    <t xml:space="preserve">มีต้นทุนแต่ยังไม่ระบุผู้ถือ (ยอดนี้จะไม่ถูกนับให้ใครเลย)</t>
  </si>
  <si>
    <t xml:space="preserve">มีต้นทุนแต่ยังไม่ระบุบรรทัดในงบดุล</t>
  </si>
  <si>
    <t xml:space="preserve">ผู้ถือที่พิมพ์ไม่ตรงกับรายชื่อผู้ถือ</t>
  </si>
  <si>
    <t xml:space="preserve">บรรทัดในงบดุลที่ไม่อยู่ในรหัสที่อนุญาต</t>
  </si>
  <si>
    <t xml:space="preserve">ค่ารีโนเวทที่กรอกไว้ในบรรทัด 1510 (ต้องย้ายไปคอลัมน์ต้นทุน ไม่งั้นนับซ้ำ)</t>
  </si>
  <si>
    <t xml:space="preserve">ต้นทุนในตารางบนที่ตารางสรุปจับไม่ได้</t>
  </si>
  <si>
    <t xml:space="preserve">ค่ารีโนเวทในตารางบนที่ตารางสรุปจับไม่ได้</t>
  </si>
  <si>
    <t xml:space="preserve">ผลต่างรวมระหว่างยอดที่กรอกในงบดุลกับยอดรวมที่คำนวณได้</t>
  </si>
  <si>
    <t xml:space="preserve">จำนวนบรรทัดในตารางสรุปที่ยอดยังไม่ตรง</t>
  </si>
</sst>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"/>
  </numFmts>
  <fonts count="8">
    <font>
      <sz val="11"/>
      <color rgb="FF0A2540"/>
      <name val="IBM Plex Sans Thai"/>
    </font>
    <font>
      <b/>
      <sz val="16"/>
      <color rgb="FF004AAD"/>
      <name val="IBM Plex Sans Thai"/>
    </font>
    <font>
      <b/>
      <sz val="12"/>
      <color rgb="FF0A2540"/>
      <name val="IBM Plex Sans Thai"/>
    </font>
    <font>
      <sz val="10"/>
      <color rgb="FF425466"/>
      <name val="IBM Plex Sans Thai"/>
    </font>
    <font>
      <b/>
      <sz val="11"/>
      <color rgb="FF0A2540"/>
      <name val="IBM Plex Sans Thai"/>
    </font>
    <font>
      <i/>
      <sz val="11"/>
      <color rgb="FF8792A2"/>
      <name val="IBM Plex Sans Thai"/>
    </font>
    <font>
      <b/>
      <sz val="11"/>
      <color rgb="FFB3261E"/>
      <name val="IBM Plex Sans Thai"/>
    </font>
    <font>
      <b/>
      <sz val="11"/>
      <color rgb="FF004AAD"/>
      <name val="IBM Plex Sans Thai"/>
    </font>
  </fonts>
  <fills count="8">
    <fill>
      <patternFill patternType="none"/>
    </fill>
    <fill>
      <patternFill patternType="gray125"/>
    </fill>
    <fill>
      <patternFill patternType="solid">
        <fgColor rgb="FFFDF2F4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EF4FC"/>
        <bgColor indexed="64"/>
      </patternFill>
    </fill>
    <fill>
      <patternFill patternType="solid">
        <fgColor rgb="FFFDF3E4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FFBEA"/>
        <bgColor indexed="64"/>
      </patternFill>
    </fill>
  </fills>
  <borders count="2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  <diagonal/>
    </border>
  </borders>
  <cellStyleXfs count="1">
    <xf numFmtId="0" fontId="0" fillId="0" borderId="0"/>
  </cellStyleXfs>
  <cellXfs count="22">
    <xf numFmtId="0" fontId="0" fillId="0" borderId="0" xfId="0" applyFont="1" applyFill="1" applyBorder="1" applyNumberFormat="1"/>
    <xf numFmtId="0" fontId="1" fillId="0" borderId="0" xfId="0" applyFont="1" applyFill="1" applyBorder="1" applyNumberFormat="1"/>
    <xf numFmtId="0" fontId="2" fillId="0" borderId="0" xfId="0" applyFont="1" applyFill="1" applyBorder="1" applyNumberFormat="1"/>
    <xf numFmtId="0" fontId="3" fillId="0" borderId="0" xfId="0" applyFont="1" applyFill="1" applyBorder="1" applyNumberFormat="1" applyAlignment="1">
      <alignment wrapText="1" vertical="top"/>
    </xf>
    <xf numFmtId="0" fontId="4" fillId="2" borderId="1" xfId="0" applyFont="1" applyFill="1" applyBorder="1" applyNumberFormat="1" applyAlignment="1">
      <alignment wrapText="1" vertical="center"/>
    </xf>
    <xf numFmtId="0" fontId="4" fillId="3" borderId="1" xfId="0" applyFont="1" applyFill="1" applyBorder="1" applyNumberFormat="1" applyAlignment="1">
      <alignment wrapText="1" vertical="center"/>
    </xf>
    <xf numFmtId="0" fontId="3" fillId="0" borderId="1" xfId="0" applyFont="1" applyFill="1" applyBorder="1" applyNumberFormat="1" applyAlignment="1">
      <alignment wrapText="1" vertical="top"/>
    </xf>
    <xf numFmtId="0" fontId="0" fillId="0" borderId="1" xfId="0" applyFont="1" applyFill="1" applyBorder="1" applyNumberFormat="1" applyAlignment="1">
      <alignment vertical="center"/>
    </xf>
    <xf numFmtId="164" fontId="0" fillId="0" borderId="1" xfId="0" applyFont="1" applyFill="1" applyBorder="1" applyNumberFormat="1" applyAlignment="1">
      <alignment vertical="center"/>
    </xf>
    <xf numFmtId="165" fontId="0" fillId="0" borderId="1" xfId="0" applyFont="1" applyFill="1" applyBorder="1" applyNumberFormat="1" applyAlignment="1">
      <alignment vertical="center"/>
    </xf>
    <xf numFmtId="0" fontId="5" fillId="0" borderId="1" xfId="0" applyFont="1" applyFill="1" applyBorder="1" applyNumberFormat="1" applyAlignment="1">
      <alignment vertical="center"/>
    </xf>
    <xf numFmtId="164" fontId="5" fillId="0" borderId="1" xfId="0" applyFont="1" applyFill="1" applyBorder="1" applyNumberFormat="1" applyAlignment="1">
      <alignment vertical="center"/>
    </xf>
    <xf numFmtId="0" fontId="0" fillId="6" borderId="1" xfId="0" applyFont="1" applyFill="1" applyBorder="1" applyNumberFormat="1" applyAlignment="1">
      <alignment vertical="center"/>
    </xf>
    <xf numFmtId="164" fontId="0" fillId="6" borderId="1" xfId="0" applyFont="1" applyFill="1" applyBorder="1" applyNumberFormat="1" applyAlignment="1">
      <alignment vertical="center"/>
    </xf>
    <xf numFmtId="165" fontId="0" fillId="6" borderId="1" xfId="0" applyFont="1" applyFill="1" applyBorder="1" applyNumberFormat="1" applyAlignment="1">
      <alignment vertical="center"/>
    </xf>
    <xf numFmtId="164" fontId="0" fillId="7" borderId="1" xfId="0" applyFont="1" applyFill="1" applyBorder="1" applyNumberFormat="1" applyAlignment="1">
      <alignment vertical="center"/>
    </xf>
    <xf numFmtId="0" fontId="0" fillId="5" borderId="1" xfId="0" applyFont="1" applyFill="1" applyBorder="1" applyNumberFormat="1" applyAlignment="1">
      <alignment wrapText="1" vertical="center"/>
    </xf>
    <xf numFmtId="164" fontId="6" fillId="5" borderId="1" xfId="0" applyFont="1" applyFill="1" applyBorder="1" applyNumberFormat="1" applyAlignment="1">
      <alignment vertical="center"/>
    </xf>
    <xf numFmtId="165" fontId="6" fillId="5" borderId="1" xfId="0" applyFont="1" applyFill="1" applyBorder="1" applyNumberFormat="1" applyAlignment="1">
      <alignment vertical="center"/>
    </xf>
    <xf numFmtId="0" fontId="3" fillId="4" borderId="0" xfId="0" applyFont="1" applyFill="1" applyBorder="1" applyNumberFormat="1" applyAlignment="1">
      <alignment wrapText="1" vertical="center"/>
    </xf>
    <xf numFmtId="0" fontId="7" fillId="0" borderId="0" xfId="0" applyFont="1" applyFill="1" applyBorder="1" applyNumberFormat="1"/>
    <xf numFmtId="0" fontId="4" fillId="6" borderId="1" xfId="0" applyFont="1" applyFill="1" applyBorder="1" applyNumberFormat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showGridLines="0" workbookViewId="0"/>
  </sheetViews>
  <sheetFormatPr defaultRowHeight="18"/>
  <cols>
    <col min="1" max="1" width="5" customWidth="1"/>
    <col min="2" max="2" width="44" customWidth="1"/>
    <col min="3" max="3" width="86" customWidth="1"/>
  </cols>
  <sheetData>
    <row r="1">
      <c r="B1" s="1" t="s">
        <v>0</v>
      </c>
    </row>
    <row r="2">
      <c r="B2" s="3" t="s">
        <v>1</v>
      </c>
    </row>
    <row r="4">
      <c r="B4" s="2" t="s">
        <v>2</v>
      </c>
    </row>
    <row r="5" ht="46" customHeight="1">
      <c r="B5" s="0" t="s">
        <v>3</v>
      </c>
      <c r="C5" s="3" t="s">
        <v>4</v>
      </c>
    </row>
    <row r="6" ht="30" customHeight="1">
      <c r="B6" s="0" t="s">
        <v>5</v>
      </c>
      <c r="C6" s="3" t="s">
        <v>6</v>
      </c>
    </row>
    <row r="7" ht="30" customHeight="1">
      <c r="A7" s="20" t="s">
        <v>7</v>
      </c>
      <c r="B7" s="0" t="s">
        <v>8</v>
      </c>
      <c r="C7" s="3" t="s">
        <v>9</v>
      </c>
    </row>
    <row r="8" ht="30" customHeight="1">
      <c r="A8" s="20" t="s">
        <v>10</v>
      </c>
      <c r="B8" s="0" t="s">
        <v>11</v>
      </c>
      <c r="C8" s="3" t="s">
        <v>12</v>
      </c>
    </row>
    <row r="9" ht="30" customHeight="1">
      <c r="A9" s="20" t="s">
        <v>13</v>
      </c>
      <c r="B9" s="0" t="s">
        <v>14</v>
      </c>
      <c r="C9" s="3" t="s">
        <v>15</v>
      </c>
    </row>
    <row r="10" ht="46" customHeight="1">
      <c r="A10" s="20" t="s">
        <v>16</v>
      </c>
      <c r="B10" s="0" t="s">
        <v>17</v>
      </c>
      <c r="C10" s="3" t="s">
        <v>18</v>
      </c>
    </row>
    <row r="11">
      <c r="B11" s="0"/>
    </row>
    <row r="12">
      <c r="B12" s="2" t="s">
        <v>19</v>
      </c>
    </row>
    <row r="13" ht="46" customHeight="1">
      <c r="A13" s="20" t="s">
        <v>20</v>
      </c>
      <c r="B13" s="0" t="s">
        <v>21</v>
      </c>
      <c r="C13" s="16" t="s">
        <v>22</v>
      </c>
    </row>
    <row r="14" ht="46" customHeight="1">
      <c r="A14" s="20" t="s">
        <v>20</v>
      </c>
      <c r="B14" s="0" t="s">
        <v>23</v>
      </c>
      <c r="C14" s="16" t="s">
        <v>24</v>
      </c>
    </row>
    <row r="15" ht="30" customHeight="1">
      <c r="A15" s="20" t="s">
        <v>20</v>
      </c>
      <c r="B15" s="0" t="s">
        <v>25</v>
      </c>
      <c r="C15" s="16" t="s">
        <v>26</v>
      </c>
    </row>
    <row r="16" ht="30" customHeight="1">
      <c r="A16" s="20" t="s">
        <v>20</v>
      </c>
      <c r="B16" s="0" t="s">
        <v>27</v>
      </c>
      <c r="C16" s="16" t="s">
        <v>28</v>
      </c>
    </row>
    <row r="17" ht="30" customHeight="1">
      <c r="A17" s="20" t="s">
        <v>20</v>
      </c>
      <c r="B17" s="0" t="s">
        <v>29</v>
      </c>
      <c r="C17" s="16" t="s">
        <v>30</v>
      </c>
    </row>
    <row r="18">
      <c r="B18" s="0"/>
    </row>
    <row r="19">
      <c r="B19" s="2" t="s">
        <v>31</v>
      </c>
    </row>
    <row r="20" ht="30" customHeight="1">
      <c r="B20" s="0" t="s">
        <v>32</v>
      </c>
      <c r="C20" s="3" t="s">
        <v>33</v>
      </c>
    </row>
    <row r="21" ht="30" customHeight="1">
      <c r="B21" s="0" t="s">
        <v>34</v>
      </c>
      <c r="C21" s="3" t="s">
        <v>35</v>
      </c>
    </row>
    <row r="22" ht="30" customHeight="1">
      <c r="B22" s="0" t="s">
        <v>36</v>
      </c>
      <c r="C22" s="3" t="s">
        <v>37</v>
      </c>
    </row>
    <row r="23" ht="30" customHeight="1">
      <c r="B23" s="0" t="s">
        <v>38</v>
      </c>
      <c r="C23" s="3" t="s">
        <v>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267"/>
  <sheetViews>
    <sheetView showGridLines="0" workbookViewId="0">
      <pane ySplit="5" topLeftCell="A6" activePane="bottomLeft" state="frozen"/>
    </sheetView>
  </sheetViews>
  <sheetFormatPr defaultRowHeight="18"/>
  <cols>
    <col min="1" max="1" width="20" customWidth="1"/>
    <col min="2" max="2" width="14" customWidth="1"/>
    <col min="3" max="3" width="34" customWidth="1"/>
    <col min="4" max="4" width="17" customWidth="1"/>
    <col min="5" max="5" width="17" customWidth="1"/>
    <col min="6" max="6" width="17" customWidth="1"/>
    <col min="7" max="7" width="34" customWidth="1"/>
    <col min="8" max="8" width="20" customWidth="1"/>
    <col min="9" max="9" width="16" customWidth="1"/>
    <col min="10" max="10" width="20" customWidth="1"/>
  </cols>
  <sheetData>
    <row r="1">
      <c r="A1" s="1" t="s">
        <v>40</v>
      </c>
    </row>
    <row r="2" ht="32" customHeight="1">
      <c r="A2" s="19" t="s">
        <v>41</v>
      </c>
    </row>
    <row r="4" ht="32" customHeight="1">
      <c r="A4" s="4" t="s">
        <v>42</v>
      </c>
      <c r="B4" s="5" t="s">
        <v>44</v>
      </c>
      <c r="C4" s="4" t="s">
        <v>46</v>
      </c>
      <c r="D4" s="4" t="s">
        <v>48</v>
      </c>
      <c r="E4" s="4" t="s">
        <v>50</v>
      </c>
      <c r="F4" s="5" t="s">
        <v>52</v>
      </c>
      <c r="G4" s="5" t="s">
        <v>54</v>
      </c>
    </row>
    <row r="5" ht="34" customHeight="1">
      <c r="A5" s="6" t="s">
        <v>43</v>
      </c>
      <c r="B5" s="6" t="s">
        <v>45</v>
      </c>
      <c r="C5" s="6" t="s">
        <v>47</v>
      </c>
      <c r="D5" s="6" t="s">
        <v>49</v>
      </c>
      <c r="E5" s="6" t="s">
        <v>51</v>
      </c>
      <c r="F5" s="6" t="s">
        <v>53</v>
      </c>
      <c r="G5" s="6" t="s">
        <v>55</v>
      </c>
    </row>
    <row r="6">
      <c r="A6" s="10" t="s">
        <v>56</v>
      </c>
      <c r="B6" s="10" t="s">
        <v>57</v>
      </c>
      <c r="C6" s="10" t="s">
        <v>58</v>
      </c>
      <c r="D6" s="10" t="s">
        <v>59</v>
      </c>
      <c r="E6" s="11">
        <v>3000000</v>
      </c>
      <c r="F6" s="11"/>
      <c r="G6" s="10" t="s">
        <v>60</v>
      </c>
    </row>
    <row r="7">
      <c r="A7" s="10" t="s">
        <v>56</v>
      </c>
      <c r="B7" s="10" t="s">
        <v>61</v>
      </c>
      <c r="C7" s="10" t="s">
        <v>62</v>
      </c>
      <c r="D7" s="10" t="s">
        <v>59</v>
      </c>
      <c r="E7" s="11">
        <v>5000000</v>
      </c>
      <c r="F7" s="11">
        <v>500000</v>
      </c>
      <c r="G7" s="10" t="s">
        <v>63</v>
      </c>
    </row>
    <row r="8">
      <c r="A8" s="7"/>
      <c r="B8" s="7"/>
      <c r="C8" s="7"/>
      <c r="D8" s="7"/>
      <c r="E8" s="8"/>
      <c r="F8" s="8"/>
      <c r="G8" s="7"/>
    </row>
    <row r="9">
      <c r="A9" s="7"/>
      <c r="B9" s="7"/>
      <c r="C9" s="7"/>
      <c r="D9" s="7"/>
      <c r="E9" s="8"/>
      <c r="F9" s="8"/>
      <c r="G9" s="7"/>
    </row>
    <row r="10">
      <c r="A10" s="7"/>
      <c r="B10" s="7"/>
      <c r="C10" s="7"/>
      <c r="D10" s="7"/>
      <c r="E10" s="8"/>
      <c r="F10" s="8"/>
      <c r="G10" s="7"/>
    </row>
    <row r="11">
      <c r="A11" s="7"/>
      <c r="B11" s="7"/>
      <c r="C11" s="7"/>
      <c r="D11" s="7"/>
      <c r="E11" s="8"/>
      <c r="F11" s="8"/>
      <c r="G11" s="7"/>
    </row>
    <row r="12">
      <c r="A12" s="7"/>
      <c r="B12" s="7"/>
      <c r="C12" s="7"/>
      <c r="D12" s="7"/>
      <c r="E12" s="8"/>
      <c r="F12" s="8"/>
      <c r="G12" s="7"/>
    </row>
    <row r="13">
      <c r="A13" s="7"/>
      <c r="B13" s="7"/>
      <c r="C13" s="7"/>
      <c r="D13" s="7"/>
      <c r="E13" s="8"/>
      <c r="F13" s="8"/>
      <c r="G13" s="7"/>
    </row>
    <row r="14">
      <c r="A14" s="7"/>
      <c r="B14" s="7"/>
      <c r="C14" s="7"/>
      <c r="D14" s="7"/>
      <c r="E14" s="8"/>
      <c r="F14" s="8"/>
      <c r="G14" s="7"/>
    </row>
    <row r="15">
      <c r="A15" s="7"/>
      <c r="B15" s="7"/>
      <c r="C15" s="7"/>
      <c r="D15" s="7"/>
      <c r="E15" s="8"/>
      <c r="F15" s="8"/>
      <c r="G15" s="7"/>
    </row>
    <row r="16">
      <c r="A16" s="7"/>
      <c r="B16" s="7"/>
      <c r="C16" s="7"/>
      <c r="D16" s="7"/>
      <c r="E16" s="8"/>
      <c r="F16" s="8"/>
      <c r="G16" s="7"/>
    </row>
    <row r="17">
      <c r="A17" s="7"/>
      <c r="B17" s="7"/>
      <c r="C17" s="7"/>
      <c r="D17" s="7"/>
      <c r="E17" s="8"/>
      <c r="F17" s="8"/>
      <c r="G17" s="7"/>
    </row>
    <row r="18">
      <c r="A18" s="7"/>
      <c r="B18" s="7"/>
      <c r="C18" s="7"/>
      <c r="D18" s="7"/>
      <c r="E18" s="8"/>
      <c r="F18" s="8"/>
      <c r="G18" s="7"/>
    </row>
    <row r="19">
      <c r="A19" s="7"/>
      <c r="B19" s="7"/>
      <c r="C19" s="7"/>
      <c r="D19" s="7"/>
      <c r="E19" s="8"/>
      <c r="F19" s="8"/>
      <c r="G19" s="7"/>
    </row>
    <row r="20">
      <c r="A20" s="7"/>
      <c r="B20" s="7"/>
      <c r="C20" s="7"/>
      <c r="D20" s="7"/>
      <c r="E20" s="8"/>
      <c r="F20" s="8"/>
      <c r="G20" s="7"/>
    </row>
    <row r="21">
      <c r="A21" s="7"/>
      <c r="B21" s="7"/>
      <c r="C21" s="7"/>
      <c r="D21" s="7"/>
      <c r="E21" s="8"/>
      <c r="F21" s="8"/>
      <c r="G21" s="7"/>
    </row>
    <row r="22">
      <c r="A22" s="7"/>
      <c r="B22" s="7"/>
      <c r="C22" s="7"/>
      <c r="D22" s="7"/>
      <c r="E22" s="8"/>
      <c r="F22" s="8"/>
      <c r="G22" s="7"/>
    </row>
    <row r="23">
      <c r="A23" s="7"/>
      <c r="B23" s="7"/>
      <c r="C23" s="7"/>
      <c r="D23" s="7"/>
      <c r="E23" s="8"/>
      <c r="F23" s="8"/>
      <c r="G23" s="7"/>
    </row>
    <row r="24">
      <c r="A24" s="7"/>
      <c r="B24" s="7"/>
      <c r="C24" s="7"/>
      <c r="D24" s="7"/>
      <c r="E24" s="8"/>
      <c r="F24" s="8"/>
      <c r="G24" s="7"/>
    </row>
    <row r="25">
      <c r="A25" s="7"/>
      <c r="B25" s="7"/>
      <c r="C25" s="7"/>
      <c r="D25" s="7"/>
      <c r="E25" s="8"/>
      <c r="F25" s="8"/>
      <c r="G25" s="7"/>
    </row>
    <row r="26">
      <c r="A26" s="7"/>
      <c r="B26" s="7"/>
      <c r="C26" s="7"/>
      <c r="D26" s="7"/>
      <c r="E26" s="8"/>
      <c r="F26" s="8"/>
      <c r="G26" s="7"/>
    </row>
    <row r="27">
      <c r="A27" s="7"/>
      <c r="B27" s="7"/>
      <c r="C27" s="7"/>
      <c r="D27" s="7"/>
      <c r="E27" s="8"/>
      <c r="F27" s="8"/>
      <c r="G27" s="7"/>
    </row>
    <row r="28">
      <c r="A28" s="7"/>
      <c r="B28" s="7"/>
      <c r="C28" s="7"/>
      <c r="D28" s="7"/>
      <c r="E28" s="8"/>
      <c r="F28" s="8"/>
      <c r="G28" s="7"/>
    </row>
    <row r="29">
      <c r="A29" s="7"/>
      <c r="B29" s="7"/>
      <c r="C29" s="7"/>
      <c r="D29" s="7"/>
      <c r="E29" s="8"/>
      <c r="F29" s="8"/>
      <c r="G29" s="7"/>
    </row>
    <row r="30">
      <c r="A30" s="7"/>
      <c r="B30" s="7"/>
      <c r="C30" s="7"/>
      <c r="D30" s="7"/>
      <c r="E30" s="8"/>
      <c r="F30" s="8"/>
      <c r="G30" s="7"/>
    </row>
    <row r="31">
      <c r="A31" s="7"/>
      <c r="B31" s="7"/>
      <c r="C31" s="7"/>
      <c r="D31" s="7"/>
      <c r="E31" s="8"/>
      <c r="F31" s="8"/>
      <c r="G31" s="7"/>
    </row>
    <row r="32">
      <c r="A32" s="7"/>
      <c r="B32" s="7"/>
      <c r="C32" s="7"/>
      <c r="D32" s="7"/>
      <c r="E32" s="8"/>
      <c r="F32" s="8"/>
      <c r="G32" s="7"/>
    </row>
    <row r="33">
      <c r="A33" s="7"/>
      <c r="B33" s="7"/>
      <c r="C33" s="7"/>
      <c r="D33" s="7"/>
      <c r="E33" s="8"/>
      <c r="F33" s="8"/>
      <c r="G33" s="7"/>
    </row>
    <row r="34">
      <c r="A34" s="7"/>
      <c r="B34" s="7"/>
      <c r="C34" s="7"/>
      <c r="D34" s="7"/>
      <c r="E34" s="8"/>
      <c r="F34" s="8"/>
      <c r="G34" s="7"/>
    </row>
    <row r="35">
      <c r="A35" s="7"/>
      <c r="B35" s="7"/>
      <c r="C35" s="7"/>
      <c r="D35" s="7"/>
      <c r="E35" s="8"/>
      <c r="F35" s="8"/>
      <c r="G35" s="7"/>
    </row>
    <row r="36">
      <c r="A36" s="7"/>
      <c r="B36" s="7"/>
      <c r="C36" s="7"/>
      <c r="D36" s="7"/>
      <c r="E36" s="8"/>
      <c r="F36" s="8"/>
      <c r="G36" s="7"/>
    </row>
    <row r="37">
      <c r="A37" s="7"/>
      <c r="B37" s="7"/>
      <c r="C37" s="7"/>
      <c r="D37" s="7"/>
      <c r="E37" s="8"/>
      <c r="F37" s="8"/>
      <c r="G37" s="7"/>
    </row>
    <row r="38">
      <c r="A38" s="7"/>
      <c r="B38" s="7"/>
      <c r="C38" s="7"/>
      <c r="D38" s="7"/>
      <c r="E38" s="8"/>
      <c r="F38" s="8"/>
      <c r="G38" s="7"/>
    </row>
    <row r="39">
      <c r="A39" s="7"/>
      <c r="B39" s="7"/>
      <c r="C39" s="7"/>
      <c r="D39" s="7"/>
      <c r="E39" s="8"/>
      <c r="F39" s="8"/>
      <c r="G39" s="7"/>
    </row>
    <row r="40">
      <c r="A40" s="7"/>
      <c r="B40" s="7"/>
      <c r="C40" s="7"/>
      <c r="D40" s="7"/>
      <c r="E40" s="8"/>
      <c r="F40" s="8"/>
      <c r="G40" s="7"/>
    </row>
    <row r="41">
      <c r="A41" s="7"/>
      <c r="B41" s="7"/>
      <c r="C41" s="7"/>
      <c r="D41" s="7"/>
      <c r="E41" s="8"/>
      <c r="F41" s="8"/>
      <c r="G41" s="7"/>
    </row>
    <row r="42">
      <c r="A42" s="7"/>
      <c r="B42" s="7"/>
      <c r="C42" s="7"/>
      <c r="D42" s="7"/>
      <c r="E42" s="8"/>
      <c r="F42" s="8"/>
      <c r="G42" s="7"/>
    </row>
    <row r="43">
      <c r="A43" s="7"/>
      <c r="B43" s="7"/>
      <c r="C43" s="7"/>
      <c r="D43" s="7"/>
      <c r="E43" s="8"/>
      <c r="F43" s="8"/>
      <c r="G43" s="7"/>
    </row>
    <row r="44">
      <c r="A44" s="7"/>
      <c r="B44" s="7"/>
      <c r="C44" s="7"/>
      <c r="D44" s="7"/>
      <c r="E44" s="8"/>
      <c r="F44" s="8"/>
      <c r="G44" s="7"/>
    </row>
    <row r="45">
      <c r="A45" s="7"/>
      <c r="B45" s="7"/>
      <c r="C45" s="7"/>
      <c r="D45" s="7"/>
      <c r="E45" s="8"/>
      <c r="F45" s="8"/>
      <c r="G45" s="7"/>
    </row>
    <row r="46">
      <c r="A46" s="7"/>
      <c r="B46" s="7"/>
      <c r="C46" s="7"/>
      <c r="D46" s="7"/>
      <c r="E46" s="8"/>
      <c r="F46" s="8"/>
      <c r="G46" s="7"/>
    </row>
    <row r="47">
      <c r="A47" s="7"/>
      <c r="B47" s="7"/>
      <c r="C47" s="7"/>
      <c r="D47" s="7"/>
      <c r="E47" s="8"/>
      <c r="F47" s="8"/>
      <c r="G47" s="7"/>
    </row>
    <row r="48">
      <c r="A48" s="7"/>
      <c r="B48" s="7"/>
      <c r="C48" s="7"/>
      <c r="D48" s="7"/>
      <c r="E48" s="8"/>
      <c r="F48" s="8"/>
      <c r="G48" s="7"/>
    </row>
    <row r="49">
      <c r="A49" s="7"/>
      <c r="B49" s="7"/>
      <c r="C49" s="7"/>
      <c r="D49" s="7"/>
      <c r="E49" s="8"/>
      <c r="F49" s="8"/>
      <c r="G49" s="7"/>
    </row>
    <row r="50">
      <c r="A50" s="7"/>
      <c r="B50" s="7"/>
      <c r="C50" s="7"/>
      <c r="D50" s="7"/>
      <c r="E50" s="8"/>
      <c r="F50" s="8"/>
      <c r="G50" s="7"/>
    </row>
    <row r="51">
      <c r="A51" s="7"/>
      <c r="B51" s="7"/>
      <c r="C51" s="7"/>
      <c r="D51" s="7"/>
      <c r="E51" s="8"/>
      <c r="F51" s="8"/>
      <c r="G51" s="7"/>
    </row>
    <row r="52">
      <c r="A52" s="7"/>
      <c r="B52" s="7"/>
      <c r="C52" s="7"/>
      <c r="D52" s="7"/>
      <c r="E52" s="8"/>
      <c r="F52" s="8"/>
      <c r="G52" s="7"/>
    </row>
    <row r="53">
      <c r="A53" s="7"/>
      <c r="B53" s="7"/>
      <c r="C53" s="7"/>
      <c r="D53" s="7"/>
      <c r="E53" s="8"/>
      <c r="F53" s="8"/>
      <c r="G53" s="7"/>
    </row>
    <row r="54">
      <c r="A54" s="7"/>
      <c r="B54" s="7"/>
      <c r="C54" s="7"/>
      <c r="D54" s="7"/>
      <c r="E54" s="8"/>
      <c r="F54" s="8"/>
      <c r="G54" s="7"/>
    </row>
    <row r="55">
      <c r="A55" s="7"/>
      <c r="B55" s="7"/>
      <c r="C55" s="7"/>
      <c r="D55" s="7"/>
      <c r="E55" s="8"/>
      <c r="F55" s="8"/>
      <c r="G55" s="7"/>
    </row>
    <row r="56">
      <c r="A56" s="7"/>
      <c r="B56" s="7"/>
      <c r="C56" s="7"/>
      <c r="D56" s="7"/>
      <c r="E56" s="8"/>
      <c r="F56" s="8"/>
      <c r="G56" s="7"/>
    </row>
    <row r="57">
      <c r="A57" s="7"/>
      <c r="B57" s="7"/>
      <c r="C57" s="7"/>
      <c r="D57" s="7"/>
      <c r="E57" s="8"/>
      <c r="F57" s="8"/>
      <c r="G57" s="7"/>
    </row>
    <row r="58">
      <c r="A58" s="7"/>
      <c r="B58" s="7"/>
      <c r="C58" s="7"/>
      <c r="D58" s="7"/>
      <c r="E58" s="8"/>
      <c r="F58" s="8"/>
      <c r="G58" s="7"/>
    </row>
    <row r="59">
      <c r="A59" s="7"/>
      <c r="B59" s="7"/>
      <c r="C59" s="7"/>
      <c r="D59" s="7"/>
      <c r="E59" s="8"/>
      <c r="F59" s="8"/>
      <c r="G59" s="7"/>
    </row>
    <row r="60">
      <c r="A60" s="7"/>
      <c r="B60" s="7"/>
      <c r="C60" s="7"/>
      <c r="D60" s="7"/>
      <c r="E60" s="8"/>
      <c r="F60" s="8"/>
      <c r="G60" s="7"/>
    </row>
    <row r="61">
      <c r="A61" s="7"/>
      <c r="B61" s="7"/>
      <c r="C61" s="7"/>
      <c r="D61" s="7"/>
      <c r="E61" s="8"/>
      <c r="F61" s="8"/>
      <c r="G61" s="7"/>
    </row>
    <row r="62">
      <c r="A62" s="7"/>
      <c r="B62" s="7"/>
      <c r="C62" s="7"/>
      <c r="D62" s="7"/>
      <c r="E62" s="8"/>
      <c r="F62" s="8"/>
      <c r="G62" s="7"/>
    </row>
    <row r="63">
      <c r="A63" s="7"/>
      <c r="B63" s="7"/>
      <c r="C63" s="7"/>
      <c r="D63" s="7"/>
      <c r="E63" s="8"/>
      <c r="F63" s="8"/>
      <c r="G63" s="7"/>
    </row>
    <row r="64">
      <c r="A64" s="7"/>
      <c r="B64" s="7"/>
      <c r="C64" s="7"/>
      <c r="D64" s="7"/>
      <c r="E64" s="8"/>
      <c r="F64" s="8"/>
      <c r="G64" s="7"/>
    </row>
    <row r="65">
      <c r="A65" s="7"/>
      <c r="B65" s="7"/>
      <c r="C65" s="7"/>
      <c r="D65" s="7"/>
      <c r="E65" s="8"/>
      <c r="F65" s="8"/>
      <c r="G65" s="7"/>
    </row>
    <row r="66">
      <c r="A66" s="7"/>
      <c r="B66" s="7"/>
      <c r="C66" s="7"/>
      <c r="D66" s="7"/>
      <c r="E66" s="8"/>
      <c r="F66" s="8"/>
      <c r="G66" s="7"/>
    </row>
    <row r="67">
      <c r="A67" s="7"/>
      <c r="B67" s="7"/>
      <c r="C67" s="7"/>
      <c r="D67" s="7"/>
      <c r="E67" s="8"/>
      <c r="F67" s="8"/>
      <c r="G67" s="7"/>
    </row>
    <row r="68">
      <c r="A68" s="7"/>
      <c r="B68" s="7"/>
      <c r="C68" s="7"/>
      <c r="D68" s="7"/>
      <c r="E68" s="8"/>
      <c r="F68" s="8"/>
      <c r="G68" s="7"/>
    </row>
    <row r="69">
      <c r="A69" s="7"/>
      <c r="B69" s="7"/>
      <c r="C69" s="7"/>
      <c r="D69" s="7"/>
      <c r="E69" s="8"/>
      <c r="F69" s="8"/>
      <c r="G69" s="7"/>
    </row>
    <row r="70">
      <c r="A70" s="7"/>
      <c r="B70" s="7"/>
      <c r="C70" s="7"/>
      <c r="D70" s="7"/>
      <c r="E70" s="8"/>
      <c r="F70" s="8"/>
      <c r="G70" s="7"/>
    </row>
    <row r="71">
      <c r="A71" s="7"/>
      <c r="B71" s="7"/>
      <c r="C71" s="7"/>
      <c r="D71" s="7"/>
      <c r="E71" s="8"/>
      <c r="F71" s="8"/>
      <c r="G71" s="7"/>
    </row>
    <row r="72">
      <c r="A72" s="7"/>
      <c r="B72" s="7"/>
      <c r="C72" s="7"/>
      <c r="D72" s="7"/>
      <c r="E72" s="8"/>
      <c r="F72" s="8"/>
      <c r="G72" s="7"/>
    </row>
    <row r="73">
      <c r="A73" s="7"/>
      <c r="B73" s="7"/>
      <c r="C73" s="7"/>
      <c r="D73" s="7"/>
      <c r="E73" s="8"/>
      <c r="F73" s="8"/>
      <c r="G73" s="7"/>
    </row>
    <row r="74">
      <c r="A74" s="7"/>
      <c r="B74" s="7"/>
      <c r="C74" s="7"/>
      <c r="D74" s="7"/>
      <c r="E74" s="8"/>
      <c r="F74" s="8"/>
      <c r="G74" s="7"/>
    </row>
    <row r="75">
      <c r="A75" s="7"/>
      <c r="B75" s="7"/>
      <c r="C75" s="7"/>
      <c r="D75" s="7"/>
      <c r="E75" s="8"/>
      <c r="F75" s="8"/>
      <c r="G75" s="7"/>
    </row>
    <row r="76">
      <c r="A76" s="7"/>
      <c r="B76" s="7"/>
      <c r="C76" s="7"/>
      <c r="D76" s="7"/>
      <c r="E76" s="8"/>
      <c r="F76" s="8"/>
      <c r="G76" s="7"/>
    </row>
    <row r="77">
      <c r="A77" s="7"/>
      <c r="B77" s="7"/>
      <c r="C77" s="7"/>
      <c r="D77" s="7"/>
      <c r="E77" s="8"/>
      <c r="F77" s="8"/>
      <c r="G77" s="7"/>
    </row>
    <row r="78">
      <c r="A78" s="7"/>
      <c r="B78" s="7"/>
      <c r="C78" s="7"/>
      <c r="D78" s="7"/>
      <c r="E78" s="8"/>
      <c r="F78" s="8"/>
      <c r="G78" s="7"/>
    </row>
    <row r="79">
      <c r="A79" s="7"/>
      <c r="B79" s="7"/>
      <c r="C79" s="7"/>
      <c r="D79" s="7"/>
      <c r="E79" s="8"/>
      <c r="F79" s="8"/>
      <c r="G79" s="7"/>
    </row>
    <row r="80">
      <c r="A80" s="7"/>
      <c r="B80" s="7"/>
      <c r="C80" s="7"/>
      <c r="D80" s="7"/>
      <c r="E80" s="8"/>
      <c r="F80" s="8"/>
      <c r="G80" s="7"/>
    </row>
    <row r="81">
      <c r="A81" s="7"/>
      <c r="B81" s="7"/>
      <c r="C81" s="7"/>
      <c r="D81" s="7"/>
      <c r="E81" s="8"/>
      <c r="F81" s="8"/>
      <c r="G81" s="7"/>
    </row>
    <row r="82">
      <c r="A82" s="7"/>
      <c r="B82" s="7"/>
      <c r="C82" s="7"/>
      <c r="D82" s="7"/>
      <c r="E82" s="8"/>
      <c r="F82" s="8"/>
      <c r="G82" s="7"/>
    </row>
    <row r="83">
      <c r="A83" s="7"/>
      <c r="B83" s="7"/>
      <c r="C83" s="7"/>
      <c r="D83" s="7"/>
      <c r="E83" s="8"/>
      <c r="F83" s="8"/>
      <c r="G83" s="7"/>
    </row>
    <row r="84">
      <c r="A84" s="7"/>
      <c r="B84" s="7"/>
      <c r="C84" s="7"/>
      <c r="D84" s="7"/>
      <c r="E84" s="8"/>
      <c r="F84" s="8"/>
      <c r="G84" s="7"/>
    </row>
    <row r="85">
      <c r="A85" s="7"/>
      <c r="B85" s="7"/>
      <c r="C85" s="7"/>
      <c r="D85" s="7"/>
      <c r="E85" s="8"/>
      <c r="F85" s="8"/>
      <c r="G85" s="7"/>
    </row>
    <row r="86">
      <c r="A86" s="7"/>
      <c r="B86" s="7"/>
      <c r="C86" s="7"/>
      <c r="D86" s="7"/>
      <c r="E86" s="8"/>
      <c r="F86" s="8"/>
      <c r="G86" s="7"/>
    </row>
    <row r="87">
      <c r="A87" s="7"/>
      <c r="B87" s="7"/>
      <c r="C87" s="7"/>
      <c r="D87" s="7"/>
      <c r="E87" s="8"/>
      <c r="F87" s="8"/>
      <c r="G87" s="7"/>
    </row>
    <row r="88">
      <c r="A88" s="7"/>
      <c r="B88" s="7"/>
      <c r="C88" s="7"/>
      <c r="D88" s="7"/>
      <c r="E88" s="8"/>
      <c r="F88" s="8"/>
      <c r="G88" s="7"/>
    </row>
    <row r="89">
      <c r="A89" s="7"/>
      <c r="B89" s="7"/>
      <c r="C89" s="7"/>
      <c r="D89" s="7"/>
      <c r="E89" s="8"/>
      <c r="F89" s="8"/>
      <c r="G89" s="7"/>
    </row>
    <row r="90">
      <c r="A90" s="7"/>
      <c r="B90" s="7"/>
      <c r="C90" s="7"/>
      <c r="D90" s="7"/>
      <c r="E90" s="8"/>
      <c r="F90" s="8"/>
      <c r="G90" s="7"/>
    </row>
    <row r="91">
      <c r="A91" s="7"/>
      <c r="B91" s="7"/>
      <c r="C91" s="7"/>
      <c r="D91" s="7"/>
      <c r="E91" s="8"/>
      <c r="F91" s="8"/>
      <c r="G91" s="7"/>
    </row>
    <row r="92">
      <c r="A92" s="7"/>
      <c r="B92" s="7"/>
      <c r="C92" s="7"/>
      <c r="D92" s="7"/>
      <c r="E92" s="8"/>
      <c r="F92" s="8"/>
      <c r="G92" s="7"/>
    </row>
    <row r="93">
      <c r="A93" s="7"/>
      <c r="B93" s="7"/>
      <c r="C93" s="7"/>
      <c r="D93" s="7"/>
      <c r="E93" s="8"/>
      <c r="F93" s="8"/>
      <c r="G93" s="7"/>
    </row>
    <row r="94">
      <c r="A94" s="7"/>
      <c r="B94" s="7"/>
      <c r="C94" s="7"/>
      <c r="D94" s="7"/>
      <c r="E94" s="8"/>
      <c r="F94" s="8"/>
      <c r="G94" s="7"/>
    </row>
    <row r="95">
      <c r="A95" s="7"/>
      <c r="B95" s="7"/>
      <c r="C95" s="7"/>
      <c r="D95" s="7"/>
      <c r="E95" s="8"/>
      <c r="F95" s="8"/>
      <c r="G95" s="7"/>
    </row>
    <row r="96">
      <c r="A96" s="7"/>
      <c r="B96" s="7"/>
      <c r="C96" s="7"/>
      <c r="D96" s="7"/>
      <c r="E96" s="8"/>
      <c r="F96" s="8"/>
      <c r="G96" s="7"/>
    </row>
    <row r="97">
      <c r="A97" s="7"/>
      <c r="B97" s="7"/>
      <c r="C97" s="7"/>
      <c r="D97" s="7"/>
      <c r="E97" s="8"/>
      <c r="F97" s="8"/>
      <c r="G97" s="7"/>
    </row>
    <row r="98">
      <c r="A98" s="7"/>
      <c r="B98" s="7"/>
      <c r="C98" s="7"/>
      <c r="D98" s="7"/>
      <c r="E98" s="8"/>
      <c r="F98" s="8"/>
      <c r="G98" s="7"/>
    </row>
    <row r="99">
      <c r="A99" s="7"/>
      <c r="B99" s="7"/>
      <c r="C99" s="7"/>
      <c r="D99" s="7"/>
      <c r="E99" s="8"/>
      <c r="F99" s="8"/>
      <c r="G99" s="7"/>
    </row>
    <row r="100">
      <c r="A100" s="7"/>
      <c r="B100" s="7"/>
      <c r="C100" s="7"/>
      <c r="D100" s="7"/>
      <c r="E100" s="8"/>
      <c r="F100" s="8"/>
      <c r="G100" s="7"/>
    </row>
    <row r="101">
      <c r="A101" s="7"/>
      <c r="B101" s="7"/>
      <c r="C101" s="7"/>
      <c r="D101" s="7"/>
      <c r="E101" s="8"/>
      <c r="F101" s="8"/>
      <c r="G101" s="7"/>
    </row>
    <row r="102">
      <c r="A102" s="7"/>
      <c r="B102" s="7"/>
      <c r="C102" s="7"/>
      <c r="D102" s="7"/>
      <c r="E102" s="8"/>
      <c r="F102" s="8"/>
      <c r="G102" s="7"/>
    </row>
    <row r="103">
      <c r="A103" s="7"/>
      <c r="B103" s="7"/>
      <c r="C103" s="7"/>
      <c r="D103" s="7"/>
      <c r="E103" s="8"/>
      <c r="F103" s="8"/>
      <c r="G103" s="7"/>
    </row>
    <row r="104">
      <c r="A104" s="7"/>
      <c r="B104" s="7"/>
      <c r="C104" s="7"/>
      <c r="D104" s="7"/>
      <c r="E104" s="8"/>
      <c r="F104" s="8"/>
      <c r="G104" s="7"/>
    </row>
    <row r="105">
      <c r="A105" s="7"/>
      <c r="B105" s="7"/>
      <c r="C105" s="7"/>
      <c r="D105" s="7"/>
      <c r="E105" s="8"/>
      <c r="F105" s="8"/>
      <c r="G105" s="7"/>
    </row>
    <row r="106">
      <c r="A106" s="7"/>
      <c r="B106" s="7"/>
      <c r="C106" s="7"/>
      <c r="D106" s="7"/>
      <c r="E106" s="8"/>
      <c r="F106" s="8"/>
      <c r="G106" s="7"/>
    </row>
    <row r="107">
      <c r="A107" s="7"/>
      <c r="B107" s="7"/>
      <c r="C107" s="7"/>
      <c r="D107" s="7"/>
      <c r="E107" s="8"/>
      <c r="F107" s="8"/>
      <c r="G107" s="7"/>
    </row>
    <row r="108">
      <c r="A108" s="7"/>
      <c r="B108" s="7"/>
      <c r="C108" s="7"/>
      <c r="D108" s="7"/>
      <c r="E108" s="8"/>
      <c r="F108" s="8"/>
      <c r="G108" s="7"/>
    </row>
    <row r="109">
      <c r="A109" s="7"/>
      <c r="B109" s="7"/>
      <c r="C109" s="7"/>
      <c r="D109" s="7"/>
      <c r="E109" s="8"/>
      <c r="F109" s="8"/>
      <c r="G109" s="7"/>
    </row>
    <row r="110">
      <c r="A110" s="7"/>
      <c r="B110" s="7"/>
      <c r="C110" s="7"/>
      <c r="D110" s="7"/>
      <c r="E110" s="8"/>
      <c r="F110" s="8"/>
      <c r="G110" s="7"/>
    </row>
    <row r="111">
      <c r="A111" s="7"/>
      <c r="B111" s="7"/>
      <c r="C111" s="7"/>
      <c r="D111" s="7"/>
      <c r="E111" s="8"/>
      <c r="F111" s="8"/>
      <c r="G111" s="7"/>
    </row>
    <row r="112">
      <c r="A112" s="7"/>
      <c r="B112" s="7"/>
      <c r="C112" s="7"/>
      <c r="D112" s="7"/>
      <c r="E112" s="8"/>
      <c r="F112" s="8"/>
      <c r="G112" s="7"/>
    </row>
    <row r="113">
      <c r="A113" s="7"/>
      <c r="B113" s="7"/>
      <c r="C113" s="7"/>
      <c r="D113" s="7"/>
      <c r="E113" s="8"/>
      <c r="F113" s="8"/>
      <c r="G113" s="7"/>
    </row>
    <row r="114">
      <c r="A114" s="7"/>
      <c r="B114" s="7"/>
      <c r="C114" s="7"/>
      <c r="D114" s="7"/>
      <c r="E114" s="8"/>
      <c r="F114" s="8"/>
      <c r="G114" s="7"/>
    </row>
    <row r="115">
      <c r="A115" s="7"/>
      <c r="B115" s="7"/>
      <c r="C115" s="7"/>
      <c r="D115" s="7"/>
      <c r="E115" s="8"/>
      <c r="F115" s="8"/>
      <c r="G115" s="7"/>
    </row>
    <row r="116">
      <c r="A116" s="7"/>
      <c r="B116" s="7"/>
      <c r="C116" s="7"/>
      <c r="D116" s="7"/>
      <c r="E116" s="8"/>
      <c r="F116" s="8"/>
      <c r="G116" s="7"/>
    </row>
    <row r="117">
      <c r="A117" s="7"/>
      <c r="B117" s="7"/>
      <c r="C117" s="7"/>
      <c r="D117" s="7"/>
      <c r="E117" s="8"/>
      <c r="F117" s="8"/>
      <c r="G117" s="7"/>
    </row>
    <row r="118">
      <c r="A118" s="7"/>
      <c r="B118" s="7"/>
      <c r="C118" s="7"/>
      <c r="D118" s="7"/>
      <c r="E118" s="8"/>
      <c r="F118" s="8"/>
      <c r="G118" s="7"/>
    </row>
    <row r="119">
      <c r="A119" s="7"/>
      <c r="B119" s="7"/>
      <c r="C119" s="7"/>
      <c r="D119" s="7"/>
      <c r="E119" s="8"/>
      <c r="F119" s="8"/>
      <c r="G119" s="7"/>
    </row>
    <row r="120">
      <c r="A120" s="7"/>
      <c r="B120" s="7"/>
      <c r="C120" s="7"/>
      <c r="D120" s="7"/>
      <c r="E120" s="8"/>
      <c r="F120" s="8"/>
      <c r="G120" s="7"/>
    </row>
    <row r="121">
      <c r="A121" s="7"/>
      <c r="B121" s="7"/>
      <c r="C121" s="7"/>
      <c r="D121" s="7"/>
      <c r="E121" s="8"/>
      <c r="F121" s="8"/>
      <c r="G121" s="7"/>
    </row>
    <row r="122">
      <c r="A122" s="7"/>
      <c r="B122" s="7"/>
      <c r="C122" s="7"/>
      <c r="D122" s="7"/>
      <c r="E122" s="8"/>
      <c r="F122" s="8"/>
      <c r="G122" s="7"/>
    </row>
    <row r="123">
      <c r="A123" s="7"/>
      <c r="B123" s="7"/>
      <c r="C123" s="7"/>
      <c r="D123" s="7"/>
      <c r="E123" s="8"/>
      <c r="F123" s="8"/>
      <c r="G123" s="7"/>
    </row>
    <row r="124">
      <c r="A124" s="7"/>
      <c r="B124" s="7"/>
      <c r="C124" s="7"/>
      <c r="D124" s="7"/>
      <c r="E124" s="8"/>
      <c r="F124" s="8"/>
      <c r="G124" s="7"/>
    </row>
    <row r="125">
      <c r="A125" s="7"/>
      <c r="B125" s="7"/>
      <c r="C125" s="7"/>
      <c r="D125" s="7"/>
      <c r="E125" s="8"/>
      <c r="F125" s="8"/>
      <c r="G125" s="7"/>
    </row>
    <row r="126">
      <c r="A126" s="7"/>
      <c r="B126" s="7"/>
      <c r="C126" s="7"/>
      <c r="D126" s="7"/>
      <c r="E126" s="8"/>
      <c r="F126" s="8"/>
      <c r="G126" s="7"/>
    </row>
    <row r="127">
      <c r="A127" s="7"/>
      <c r="B127" s="7"/>
      <c r="C127" s="7"/>
      <c r="D127" s="7"/>
      <c r="E127" s="8"/>
      <c r="F127" s="8"/>
      <c r="G127" s="7"/>
    </row>
    <row r="128">
      <c r="A128" s="7"/>
      <c r="B128" s="7"/>
      <c r="C128" s="7"/>
      <c r="D128" s="7"/>
      <c r="E128" s="8"/>
      <c r="F128" s="8"/>
      <c r="G128" s="7"/>
    </row>
    <row r="129">
      <c r="A129" s="7"/>
      <c r="B129" s="7"/>
      <c r="C129" s="7"/>
      <c r="D129" s="7"/>
      <c r="E129" s="8"/>
      <c r="F129" s="8"/>
      <c r="G129" s="7"/>
    </row>
    <row r="130">
      <c r="A130" s="7"/>
      <c r="B130" s="7"/>
      <c r="C130" s="7"/>
      <c r="D130" s="7"/>
      <c r="E130" s="8"/>
      <c r="F130" s="8"/>
      <c r="G130" s="7"/>
    </row>
    <row r="131">
      <c r="A131" s="7"/>
      <c r="B131" s="7"/>
      <c r="C131" s="7"/>
      <c r="D131" s="7"/>
      <c r="E131" s="8"/>
      <c r="F131" s="8"/>
      <c r="G131" s="7"/>
    </row>
    <row r="132">
      <c r="A132" s="7"/>
      <c r="B132" s="7"/>
      <c r="C132" s="7"/>
      <c r="D132" s="7"/>
      <c r="E132" s="8"/>
      <c r="F132" s="8"/>
      <c r="G132" s="7"/>
    </row>
    <row r="133">
      <c r="A133" s="7"/>
      <c r="B133" s="7"/>
      <c r="C133" s="7"/>
      <c r="D133" s="7"/>
      <c r="E133" s="8"/>
      <c r="F133" s="8"/>
      <c r="G133" s="7"/>
    </row>
    <row r="134">
      <c r="A134" s="7"/>
      <c r="B134" s="7"/>
      <c r="C134" s="7"/>
      <c r="D134" s="7"/>
      <c r="E134" s="8"/>
      <c r="F134" s="8"/>
      <c r="G134" s="7"/>
    </row>
    <row r="135">
      <c r="A135" s="7"/>
      <c r="B135" s="7"/>
      <c r="C135" s="7"/>
      <c r="D135" s="7"/>
      <c r="E135" s="8"/>
      <c r="F135" s="8"/>
      <c r="G135" s="7"/>
    </row>
    <row r="136">
      <c r="A136" s="7"/>
      <c r="B136" s="7"/>
      <c r="C136" s="7"/>
      <c r="D136" s="7"/>
      <c r="E136" s="8"/>
      <c r="F136" s="8"/>
      <c r="G136" s="7"/>
    </row>
    <row r="137">
      <c r="A137" s="7"/>
      <c r="B137" s="7"/>
      <c r="C137" s="7"/>
      <c r="D137" s="7"/>
      <c r="E137" s="8"/>
      <c r="F137" s="8"/>
      <c r="G137" s="7"/>
    </row>
    <row r="138">
      <c r="A138" s="7"/>
      <c r="B138" s="7"/>
      <c r="C138" s="7"/>
      <c r="D138" s="7"/>
      <c r="E138" s="8"/>
      <c r="F138" s="8"/>
      <c r="G138" s="7"/>
    </row>
    <row r="139">
      <c r="A139" s="7"/>
      <c r="B139" s="7"/>
      <c r="C139" s="7"/>
      <c r="D139" s="7"/>
      <c r="E139" s="8"/>
      <c r="F139" s="8"/>
      <c r="G139" s="7"/>
    </row>
    <row r="140">
      <c r="A140" s="7"/>
      <c r="B140" s="7"/>
      <c r="C140" s="7"/>
      <c r="D140" s="7"/>
      <c r="E140" s="8"/>
      <c r="F140" s="8"/>
      <c r="G140" s="7"/>
    </row>
    <row r="141">
      <c r="A141" s="7"/>
      <c r="B141" s="7"/>
      <c r="C141" s="7"/>
      <c r="D141" s="7"/>
      <c r="E141" s="8"/>
      <c r="F141" s="8"/>
      <c r="G141" s="7"/>
    </row>
    <row r="142">
      <c r="A142" s="7"/>
      <c r="B142" s="7"/>
      <c r="C142" s="7"/>
      <c r="D142" s="7"/>
      <c r="E142" s="8"/>
      <c r="F142" s="8"/>
      <c r="G142" s="7"/>
    </row>
    <row r="143">
      <c r="A143" s="7"/>
      <c r="B143" s="7"/>
      <c r="C143" s="7"/>
      <c r="D143" s="7"/>
      <c r="E143" s="8"/>
      <c r="F143" s="8"/>
      <c r="G143" s="7"/>
    </row>
    <row r="144">
      <c r="A144" s="7"/>
      <c r="B144" s="7"/>
      <c r="C144" s="7"/>
      <c r="D144" s="7"/>
      <c r="E144" s="8"/>
      <c r="F144" s="8"/>
      <c r="G144" s="7"/>
    </row>
    <row r="145">
      <c r="A145" s="7"/>
      <c r="B145" s="7"/>
      <c r="C145" s="7"/>
      <c r="D145" s="7"/>
      <c r="E145" s="8"/>
      <c r="F145" s="8"/>
      <c r="G145" s="7"/>
    </row>
    <row r="146">
      <c r="A146" s="7"/>
      <c r="B146" s="7"/>
      <c r="C146" s="7"/>
      <c r="D146" s="7"/>
      <c r="E146" s="8"/>
      <c r="F146" s="8"/>
      <c r="G146" s="7"/>
    </row>
    <row r="147">
      <c r="A147" s="7"/>
      <c r="B147" s="7"/>
      <c r="C147" s="7"/>
      <c r="D147" s="7"/>
      <c r="E147" s="8"/>
      <c r="F147" s="8"/>
      <c r="G147" s="7"/>
    </row>
    <row r="148">
      <c r="A148" s="7"/>
      <c r="B148" s="7"/>
      <c r="C148" s="7"/>
      <c r="D148" s="7"/>
      <c r="E148" s="8"/>
      <c r="F148" s="8"/>
      <c r="G148" s="7"/>
    </row>
    <row r="149">
      <c r="A149" s="7"/>
      <c r="B149" s="7"/>
      <c r="C149" s="7"/>
      <c r="D149" s="7"/>
      <c r="E149" s="8"/>
      <c r="F149" s="8"/>
      <c r="G149" s="7"/>
    </row>
    <row r="150">
      <c r="A150" s="7"/>
      <c r="B150" s="7"/>
      <c r="C150" s="7"/>
      <c r="D150" s="7"/>
      <c r="E150" s="8"/>
      <c r="F150" s="8"/>
      <c r="G150" s="7"/>
    </row>
    <row r="151">
      <c r="A151" s="7"/>
      <c r="B151" s="7"/>
      <c r="C151" s="7"/>
      <c r="D151" s="7"/>
      <c r="E151" s="8"/>
      <c r="F151" s="8"/>
      <c r="G151" s="7"/>
    </row>
    <row r="152">
      <c r="A152" s="7"/>
      <c r="B152" s="7"/>
      <c r="C152" s="7"/>
      <c r="D152" s="7"/>
      <c r="E152" s="8"/>
      <c r="F152" s="8"/>
      <c r="G152" s="7"/>
    </row>
    <row r="153">
      <c r="A153" s="7"/>
      <c r="B153" s="7"/>
      <c r="C153" s="7"/>
      <c r="D153" s="7"/>
      <c r="E153" s="8"/>
      <c r="F153" s="8"/>
      <c r="G153" s="7"/>
    </row>
    <row r="154">
      <c r="A154" s="7"/>
      <c r="B154" s="7"/>
      <c r="C154" s="7"/>
      <c r="D154" s="7"/>
      <c r="E154" s="8"/>
      <c r="F154" s="8"/>
      <c r="G154" s="7"/>
    </row>
    <row r="155">
      <c r="A155" s="7"/>
      <c r="B155" s="7"/>
      <c r="C155" s="7"/>
      <c r="D155" s="7"/>
      <c r="E155" s="8"/>
      <c r="F155" s="8"/>
      <c r="G155" s="7"/>
    </row>
    <row r="156">
      <c r="A156" s="7"/>
      <c r="B156" s="7"/>
      <c r="C156" s="7"/>
      <c r="D156" s="7"/>
      <c r="E156" s="8"/>
      <c r="F156" s="8"/>
      <c r="G156" s="7"/>
    </row>
    <row r="157">
      <c r="A157" s="7"/>
      <c r="B157" s="7"/>
      <c r="C157" s="7"/>
      <c r="D157" s="7"/>
      <c r="E157" s="8"/>
      <c r="F157" s="8"/>
      <c r="G157" s="7"/>
    </row>
    <row r="158">
      <c r="A158" s="7"/>
      <c r="B158" s="7"/>
      <c r="C158" s="7"/>
      <c r="D158" s="7"/>
      <c r="E158" s="8"/>
      <c r="F158" s="8"/>
      <c r="G158" s="7"/>
    </row>
    <row r="159">
      <c r="A159" s="7"/>
      <c r="B159" s="7"/>
      <c r="C159" s="7"/>
      <c r="D159" s="7"/>
      <c r="E159" s="8"/>
      <c r="F159" s="8"/>
      <c r="G159" s="7"/>
    </row>
    <row r="160">
      <c r="A160" s="7"/>
      <c r="B160" s="7"/>
      <c r="C160" s="7"/>
      <c r="D160" s="7"/>
      <c r="E160" s="8"/>
      <c r="F160" s="8"/>
      <c r="G160" s="7"/>
    </row>
    <row r="161">
      <c r="A161" s="7"/>
      <c r="B161" s="7"/>
      <c r="C161" s="7"/>
      <c r="D161" s="7"/>
      <c r="E161" s="8"/>
      <c r="F161" s="8"/>
      <c r="G161" s="7"/>
    </row>
    <row r="162">
      <c r="A162" s="7"/>
      <c r="B162" s="7"/>
      <c r="C162" s="7"/>
      <c r="D162" s="7"/>
      <c r="E162" s="8"/>
      <c r="F162" s="8"/>
      <c r="G162" s="7"/>
    </row>
    <row r="163">
      <c r="A163" s="7"/>
      <c r="B163" s="7"/>
      <c r="C163" s="7"/>
      <c r="D163" s="7"/>
      <c r="E163" s="8"/>
      <c r="F163" s="8"/>
      <c r="G163" s="7"/>
    </row>
    <row r="164">
      <c r="A164" s="7"/>
      <c r="B164" s="7"/>
      <c r="C164" s="7"/>
      <c r="D164" s="7"/>
      <c r="E164" s="8"/>
      <c r="F164" s="8"/>
      <c r="G164" s="7"/>
    </row>
    <row r="165">
      <c r="A165" s="7"/>
      <c r="B165" s="7"/>
      <c r="C165" s="7"/>
      <c r="D165" s="7"/>
      <c r="E165" s="8"/>
      <c r="F165" s="8"/>
      <c r="G165" s="7"/>
    </row>
    <row r="166">
      <c r="A166" s="7"/>
      <c r="B166" s="7"/>
      <c r="C166" s="7"/>
      <c r="D166" s="7"/>
      <c r="E166" s="8"/>
      <c r="F166" s="8"/>
      <c r="G166" s="7"/>
    </row>
    <row r="167">
      <c r="A167" s="7"/>
      <c r="B167" s="7"/>
      <c r="C167" s="7"/>
      <c r="D167" s="7"/>
      <c r="E167" s="8"/>
      <c r="F167" s="8"/>
      <c r="G167" s="7"/>
    </row>
    <row r="168">
      <c r="A168" s="7"/>
      <c r="B168" s="7"/>
      <c r="C168" s="7"/>
      <c r="D168" s="7"/>
      <c r="E168" s="8"/>
      <c r="F168" s="8"/>
      <c r="G168" s="7"/>
    </row>
    <row r="169">
      <c r="A169" s="7"/>
      <c r="B169" s="7"/>
      <c r="C169" s="7"/>
      <c r="D169" s="7"/>
      <c r="E169" s="8"/>
      <c r="F169" s="8"/>
      <c r="G169" s="7"/>
    </row>
    <row r="170">
      <c r="A170" s="7"/>
      <c r="B170" s="7"/>
      <c r="C170" s="7"/>
      <c r="D170" s="7"/>
      <c r="E170" s="8"/>
      <c r="F170" s="8"/>
      <c r="G170" s="7"/>
    </row>
    <row r="171">
      <c r="A171" s="7"/>
      <c r="B171" s="7"/>
      <c r="C171" s="7"/>
      <c r="D171" s="7"/>
      <c r="E171" s="8"/>
      <c r="F171" s="8"/>
      <c r="G171" s="7"/>
    </row>
    <row r="172">
      <c r="A172" s="7"/>
      <c r="B172" s="7"/>
      <c r="C172" s="7"/>
      <c r="D172" s="7"/>
      <c r="E172" s="8"/>
      <c r="F172" s="8"/>
      <c r="G172" s="7"/>
    </row>
    <row r="173">
      <c r="A173" s="7"/>
      <c r="B173" s="7"/>
      <c r="C173" s="7"/>
      <c r="D173" s="7"/>
      <c r="E173" s="8"/>
      <c r="F173" s="8"/>
      <c r="G173" s="7"/>
    </row>
    <row r="174">
      <c r="A174" s="7"/>
      <c r="B174" s="7"/>
      <c r="C174" s="7"/>
      <c r="D174" s="7"/>
      <c r="E174" s="8"/>
      <c r="F174" s="8"/>
      <c r="G174" s="7"/>
    </row>
    <row r="175">
      <c r="A175" s="7"/>
      <c r="B175" s="7"/>
      <c r="C175" s="7"/>
      <c r="D175" s="7"/>
      <c r="E175" s="8"/>
      <c r="F175" s="8"/>
      <c r="G175" s="7"/>
    </row>
    <row r="176">
      <c r="A176" s="7"/>
      <c r="B176" s="7"/>
      <c r="C176" s="7"/>
      <c r="D176" s="7"/>
      <c r="E176" s="8"/>
      <c r="F176" s="8"/>
      <c r="G176" s="7"/>
    </row>
    <row r="177">
      <c r="A177" s="7"/>
      <c r="B177" s="7"/>
      <c r="C177" s="7"/>
      <c r="D177" s="7"/>
      <c r="E177" s="8"/>
      <c r="F177" s="8"/>
      <c r="G177" s="7"/>
    </row>
    <row r="178">
      <c r="A178" s="7"/>
      <c r="B178" s="7"/>
      <c r="C178" s="7"/>
      <c r="D178" s="7"/>
      <c r="E178" s="8"/>
      <c r="F178" s="8"/>
      <c r="G178" s="7"/>
    </row>
    <row r="179">
      <c r="A179" s="7"/>
      <c r="B179" s="7"/>
      <c r="C179" s="7"/>
      <c r="D179" s="7"/>
      <c r="E179" s="8"/>
      <c r="F179" s="8"/>
      <c r="G179" s="7"/>
    </row>
    <row r="180">
      <c r="A180" s="7"/>
      <c r="B180" s="7"/>
      <c r="C180" s="7"/>
      <c r="D180" s="7"/>
      <c r="E180" s="8"/>
      <c r="F180" s="8"/>
      <c r="G180" s="7"/>
    </row>
    <row r="181">
      <c r="A181" s="7"/>
      <c r="B181" s="7"/>
      <c r="C181" s="7"/>
      <c r="D181" s="7"/>
      <c r="E181" s="8"/>
      <c r="F181" s="8"/>
      <c r="G181" s="7"/>
    </row>
    <row r="182">
      <c r="A182" s="7"/>
      <c r="B182" s="7"/>
      <c r="C182" s="7"/>
      <c r="D182" s="7"/>
      <c r="E182" s="8"/>
      <c r="F182" s="8"/>
      <c r="G182" s="7"/>
    </row>
    <row r="183">
      <c r="A183" s="7"/>
      <c r="B183" s="7"/>
      <c r="C183" s="7"/>
      <c r="D183" s="7"/>
      <c r="E183" s="8"/>
      <c r="F183" s="8"/>
      <c r="G183" s="7"/>
    </row>
    <row r="184">
      <c r="A184" s="7"/>
      <c r="B184" s="7"/>
      <c r="C184" s="7"/>
      <c r="D184" s="7"/>
      <c r="E184" s="8"/>
      <c r="F184" s="8"/>
      <c r="G184" s="7"/>
    </row>
    <row r="185">
      <c r="A185" s="7"/>
      <c r="B185" s="7"/>
      <c r="C185" s="7"/>
      <c r="D185" s="7"/>
      <c r="E185" s="8"/>
      <c r="F185" s="8"/>
      <c r="G185" s="7"/>
    </row>
    <row r="186">
      <c r="A186" s="7"/>
      <c r="B186" s="7"/>
      <c r="C186" s="7"/>
      <c r="D186" s="7"/>
      <c r="E186" s="8"/>
      <c r="F186" s="8"/>
      <c r="G186" s="7"/>
    </row>
    <row r="187">
      <c r="A187" s="7"/>
      <c r="B187" s="7"/>
      <c r="C187" s="7"/>
      <c r="D187" s="7"/>
      <c r="E187" s="8"/>
      <c r="F187" s="8"/>
      <c r="G187" s="7"/>
    </row>
    <row r="188">
      <c r="A188" s="7"/>
      <c r="B188" s="7"/>
      <c r="C188" s="7"/>
      <c r="D188" s="7"/>
      <c r="E188" s="8"/>
      <c r="F188" s="8"/>
      <c r="G188" s="7"/>
    </row>
    <row r="189">
      <c r="A189" s="7"/>
      <c r="B189" s="7"/>
      <c r="C189" s="7"/>
      <c r="D189" s="7"/>
      <c r="E189" s="8"/>
      <c r="F189" s="8"/>
      <c r="G189" s="7"/>
    </row>
    <row r="190">
      <c r="A190" s="7"/>
      <c r="B190" s="7"/>
      <c r="C190" s="7"/>
      <c r="D190" s="7"/>
      <c r="E190" s="8"/>
      <c r="F190" s="8"/>
      <c r="G190" s="7"/>
    </row>
    <row r="191">
      <c r="A191" s="7"/>
      <c r="B191" s="7"/>
      <c r="C191" s="7"/>
      <c r="D191" s="7"/>
      <c r="E191" s="8"/>
      <c r="F191" s="8"/>
      <c r="G191" s="7"/>
    </row>
    <row r="192">
      <c r="A192" s="7"/>
      <c r="B192" s="7"/>
      <c r="C192" s="7"/>
      <c r="D192" s="7"/>
      <c r="E192" s="8"/>
      <c r="F192" s="8"/>
      <c r="G192" s="7"/>
    </row>
    <row r="193">
      <c r="A193" s="7"/>
      <c r="B193" s="7"/>
      <c r="C193" s="7"/>
      <c r="D193" s="7"/>
      <c r="E193" s="8"/>
      <c r="F193" s="8"/>
      <c r="G193" s="7"/>
    </row>
    <row r="194">
      <c r="A194" s="7"/>
      <c r="B194" s="7"/>
      <c r="C194" s="7"/>
      <c r="D194" s="7"/>
      <c r="E194" s="8"/>
      <c r="F194" s="8"/>
      <c r="G194" s="7"/>
    </row>
    <row r="195">
      <c r="A195" s="7"/>
      <c r="B195" s="7"/>
      <c r="C195" s="7"/>
      <c r="D195" s="7"/>
      <c r="E195" s="8"/>
      <c r="F195" s="8"/>
      <c r="G195" s="7"/>
    </row>
    <row r="196">
      <c r="A196" s="7"/>
      <c r="B196" s="7"/>
      <c r="C196" s="7"/>
      <c r="D196" s="7"/>
      <c r="E196" s="8"/>
      <c r="F196" s="8"/>
      <c r="G196" s="7"/>
    </row>
    <row r="197">
      <c r="A197" s="7"/>
      <c r="B197" s="7"/>
      <c r="C197" s="7"/>
      <c r="D197" s="7"/>
      <c r="E197" s="8"/>
      <c r="F197" s="8"/>
      <c r="G197" s="7"/>
    </row>
    <row r="198">
      <c r="A198" s="7"/>
      <c r="B198" s="7"/>
      <c r="C198" s="7"/>
      <c r="D198" s="7"/>
      <c r="E198" s="8"/>
      <c r="F198" s="8"/>
      <c r="G198" s="7"/>
    </row>
    <row r="199">
      <c r="A199" s="7"/>
      <c r="B199" s="7"/>
      <c r="C199" s="7"/>
      <c r="D199" s="7"/>
      <c r="E199" s="8"/>
      <c r="F199" s="8"/>
      <c r="G199" s="7"/>
    </row>
    <row r="200">
      <c r="A200" s="7"/>
      <c r="B200" s="7"/>
      <c r="C200" s="7"/>
      <c r="D200" s="7"/>
      <c r="E200" s="8"/>
      <c r="F200" s="8"/>
      <c r="G200" s="7"/>
    </row>
    <row r="201">
      <c r="A201" s="7"/>
      <c r="B201" s="7"/>
      <c r="C201" s="7"/>
      <c r="D201" s="7"/>
      <c r="E201" s="8"/>
      <c r="F201" s="8"/>
      <c r="G201" s="7"/>
    </row>
    <row r="202">
      <c r="A202" s="7"/>
      <c r="B202" s="7"/>
      <c r="C202" s="7"/>
      <c r="D202" s="7"/>
      <c r="E202" s="8"/>
      <c r="F202" s="8"/>
      <c r="G202" s="7"/>
    </row>
    <row r="203">
      <c r="A203" s="7"/>
      <c r="B203" s="7"/>
      <c r="C203" s="7"/>
      <c r="D203" s="7"/>
      <c r="E203" s="8"/>
      <c r="F203" s="8"/>
      <c r="G203" s="7"/>
    </row>
    <row r="204">
      <c r="A204" s="7"/>
      <c r="B204" s="7"/>
      <c r="C204" s="7"/>
      <c r="D204" s="7"/>
      <c r="E204" s="8"/>
      <c r="F204" s="8"/>
      <c r="G204" s="7"/>
    </row>
    <row r="205">
      <c r="A205" s="7"/>
      <c r="B205" s="7"/>
      <c r="C205" s="7"/>
      <c r="D205" s="7"/>
      <c r="E205" s="8"/>
      <c r="F205" s="8"/>
      <c r="G205" s="7"/>
    </row>
    <row r="207">
      <c r="A207" s="2" t="s">
        <v>64</v>
      </c>
    </row>
    <row r="208" ht="40" customHeight="1">
      <c r="A208" s="21" t="s">
        <v>65</v>
      </c>
      <c r="B208" s="21" t="s">
        <v>66</v>
      </c>
      <c r="C208" s="21" t="s">
        <v>67</v>
      </c>
      <c r="D208" s="21" t="s">
        <v>68</v>
      </c>
      <c r="E208" s="21" t="s">
        <v>69</v>
      </c>
      <c r="F208" s="21" t="s">
        <v>70</v>
      </c>
      <c r="G208" s="21" t="s">
        <v>71</v>
      </c>
      <c r="H208" s="21" t="s">
        <v>72</v>
      </c>
      <c r="I208" s="21" t="s">
        <v>73</v>
      </c>
      <c r="J208" s="21" t="s">
        <v>74</v>
      </c>
    </row>
    <row r="209">
      <c r="A209" s="12" t="s">
        <v>75</v>
      </c>
      <c r="B209" s="12" t="s">
        <v>59</v>
      </c>
      <c r="C209" s="12" t="s">
        <v>76</v>
      </c>
      <c r="D209" s="14">
        <f>COUNTIFS($A$6:$A$205,$A209,$D$6:$D$205,$B209)</f>
        <v>0</v>
      </c>
      <c r="E209" s="13">
        <f>SUMIFS($E$6:$E$205,$A$6:$A$205,$A209,$D$6:$D$205,$B209)</f>
        <v>0</v>
      </c>
      <c r="F209" s="13">
        <f>SUMIFS($F$6:$F$205,$A$6:$A$205,$A209,$D$6:$D$205,$B209)</f>
        <v>0</v>
      </c>
      <c r="G209" s="13">
        <f>$E209</f>
        <v>0</v>
      </c>
      <c r="H209" s="15"/>
      <c r="I209" s="13">
        <f>IF(AND($H209="",$G209=0),0,$H209-$G209)</f>
        <v>0</v>
      </c>
      <c r="J209" s="12" t="str">
        <f>IF($I209=0,"ตรงกัน","ต่างกัน — ต้องหา")</f>
        <v>ตรงกัน</v>
      </c>
    </row>
    <row r="210">
      <c r="A210" s="12" t="s">
        <v>75</v>
      </c>
      <c r="B210" s="12" t="s">
        <v>77</v>
      </c>
      <c r="C210" s="12" t="s">
        <v>78</v>
      </c>
      <c r="D210" s="14">
        <f>COUNTIFS($A$6:$A$205,$A210,$D$6:$D$205,$B210)</f>
        <v>0</v>
      </c>
      <c r="E210" s="13">
        <f>SUMIFS($E$6:$E$205,$A$6:$A$205,$A210,$D$6:$D$205,$B210)</f>
        <v>0</v>
      </c>
      <c r="F210" s="13">
        <f>SUMIFS($F$6:$F$205,$A$6:$A$205,$A210,$D$6:$D$205,$B210)</f>
        <v>0</v>
      </c>
      <c r="G210" s="13">
        <f>$E210</f>
        <v>0</v>
      </c>
      <c r="H210" s="15"/>
      <c r="I210" s="13">
        <f>IF(AND($H210="",$G210=0),0,$H210-$G210)</f>
        <v>0</v>
      </c>
      <c r="J210" s="12" t="str">
        <f>IF($I210=0,"ตรงกัน","ต่างกัน — ต้องหา")</f>
        <v>ตรงกัน</v>
      </c>
    </row>
    <row r="211">
      <c r="A211" s="12" t="s">
        <v>75</v>
      </c>
      <c r="B211" s="12" t="s">
        <v>79</v>
      </c>
      <c r="C211" s="12" t="s">
        <v>80</v>
      </c>
      <c r="D211" s="14">
        <f>COUNTIFS($A$6:$A$205,$A211,$D$6:$D$205,$B211)</f>
        <v>0</v>
      </c>
      <c r="E211" s="13">
        <f>SUMIFS($E$6:$E$205,$A$6:$A$205,$A211,$D$6:$D$205,$B211)</f>
        <v>0</v>
      </c>
      <c r="F211" s="13">
        <f>SUMIFS($F$6:$F$205,$A$6:$A$205,$A211,$D$6:$D$205,$B211)</f>
        <v>0</v>
      </c>
      <c r="G211" s="13">
        <f>$E211+SUMIF($A$6:$A$205,$A211,$F$6:$F$205)</f>
        <v>0</v>
      </c>
      <c r="H211" s="15"/>
      <c r="I211" s="13">
        <f>IF(AND($H211="",$G211=0),0,$H211-$G211)</f>
        <v>0</v>
      </c>
      <c r="J211" s="12" t="str">
        <f>IF($I211=0,"ตรงกัน","ต่างกัน — ต้องหา")</f>
        <v>ตรงกัน</v>
      </c>
    </row>
    <row r="212">
      <c r="A212" s="12" t="s">
        <v>75</v>
      </c>
      <c r="B212" s="12" t="s">
        <v>81</v>
      </c>
      <c r="C212" s="12" t="s">
        <v>82</v>
      </c>
      <c r="D212" s="14">
        <f>COUNTIFS($A$6:$A$205,$A212,$D$6:$D$205,$B212)</f>
        <v>0</v>
      </c>
      <c r="E212" s="13">
        <f>SUMIFS($E$6:$E$205,$A$6:$A$205,$A212,$D$6:$D$205,$B212)</f>
        <v>0</v>
      </c>
      <c r="F212" s="13">
        <f>SUMIFS($F$6:$F$205,$A$6:$A$205,$A212,$D$6:$D$205,$B212)</f>
        <v>0</v>
      </c>
      <c r="G212" s="13">
        <f>$E212</f>
        <v>0</v>
      </c>
      <c r="H212" s="15"/>
      <c r="I212" s="13">
        <f>IF(AND($H212="",$G212=0),0,$H212-$G212)</f>
        <v>0</v>
      </c>
      <c r="J212" s="12" t="str">
        <f>IF($I212=0,"ตรงกัน","ต่างกัน — ต้องหา")</f>
        <v>ตรงกัน</v>
      </c>
    </row>
    <row r="213">
      <c r="A213" s="12" t="s">
        <v>75</v>
      </c>
      <c r="B213" s="12" t="s">
        <v>83</v>
      </c>
      <c r="C213" s="12" t="s">
        <v>84</v>
      </c>
      <c r="D213" s="14">
        <f>COUNTIFS($A$6:$A$205,$A213,$D$6:$D$205,$B213)</f>
        <v>0</v>
      </c>
      <c r="E213" s="13">
        <f>SUMIFS($E$6:$E$205,$A$6:$A$205,$A213,$D$6:$D$205,$B213)</f>
        <v>0</v>
      </c>
      <c r="F213" s="13">
        <f>SUMIFS($F$6:$F$205,$A$6:$A$205,$A213,$D$6:$D$205,$B213)</f>
        <v>0</v>
      </c>
      <c r="G213" s="13">
        <f>$E213</f>
        <v>0</v>
      </c>
      <c r="H213" s="15"/>
      <c r="I213" s="13">
        <f>IF(AND($H213="",$G213=0),0,$H213-$G213)</f>
        <v>0</v>
      </c>
      <c r="J213" s="12" t="str">
        <f>IF($I213=0,"ตรงกัน","ต่างกัน — ต้องหา")</f>
        <v>ตรงกัน</v>
      </c>
    </row>
    <row r="214">
      <c r="A214" s="12" t="s">
        <v>75</v>
      </c>
      <c r="B214" s="12" t="s">
        <v>85</v>
      </c>
      <c r="C214" s="12" t="s">
        <v>86</v>
      </c>
      <c r="D214" s="14">
        <f>COUNTIFS($A$6:$A$205,$A214,$D$6:$D$205,$B214)</f>
        <v>0</v>
      </c>
      <c r="E214" s="13">
        <f>SUMIFS($E$6:$E$205,$A$6:$A$205,$A214,$D$6:$D$205,$B214)</f>
        <v>0</v>
      </c>
      <c r="F214" s="13">
        <f>SUMIFS($F$6:$F$205,$A$6:$A$205,$A214,$D$6:$D$205,$B214)</f>
        <v>0</v>
      </c>
      <c r="G214" s="13">
        <f>$E214</f>
        <v>0</v>
      </c>
      <c r="H214" s="15"/>
      <c r="I214" s="13">
        <f>IF(AND($H214="",$G214=0),0,$H214-$G214)</f>
        <v>0</v>
      </c>
      <c r="J214" s="12" t="str">
        <f>IF($I214=0,"ตรงกัน","ต่างกัน — ต้องหา")</f>
        <v>ตรงกัน</v>
      </c>
    </row>
    <row r="215">
      <c r="A215" s="12" t="s">
        <v>75</v>
      </c>
      <c r="B215" s="12" t="s">
        <v>87</v>
      </c>
      <c r="C215" s="12" t="s">
        <v>88</v>
      </c>
      <c r="D215" s="14">
        <f>COUNTIFS($A$6:$A$205,$A215,$D$6:$D$205,$B215)</f>
        <v>0</v>
      </c>
      <c r="E215" s="13">
        <f>SUMIFS($E$6:$E$205,$A$6:$A$205,$A215,$D$6:$D$205,$B215)</f>
        <v>0</v>
      </c>
      <c r="F215" s="13">
        <f>SUMIFS($F$6:$F$205,$A$6:$A$205,$A215,$D$6:$D$205,$B215)</f>
        <v>0</v>
      </c>
      <c r="G215" s="13">
        <f>$E215</f>
        <v>0</v>
      </c>
      <c r="H215" s="15"/>
      <c r="I215" s="13">
        <f>IF(AND($H215="",$G215=0),0,$H215-$G215)</f>
        <v>0</v>
      </c>
      <c r="J215" s="12" t="str">
        <f>IF($I215=0,"ตรงกัน","ต่างกัน — ต้องหา")</f>
        <v>ตรงกัน</v>
      </c>
    </row>
    <row r="216">
      <c r="A216" s="12" t="s">
        <v>75</v>
      </c>
      <c r="B216" s="12" t="s">
        <v>89</v>
      </c>
      <c r="C216" s="12" t="s">
        <v>90</v>
      </c>
      <c r="D216" s="14">
        <f>COUNTIFS($A$6:$A$205,$A216,$D$6:$D$205,$B216)</f>
        <v>0</v>
      </c>
      <c r="E216" s="13">
        <f>SUMIFS($E$6:$E$205,$A$6:$A$205,$A216,$D$6:$D$205,$B216)</f>
        <v>0</v>
      </c>
      <c r="F216" s="13">
        <f>SUMIFS($F$6:$F$205,$A$6:$A$205,$A216,$D$6:$D$205,$B216)</f>
        <v>0</v>
      </c>
      <c r="G216" s="13">
        <f>$E216</f>
        <v>0</v>
      </c>
      <c r="H216" s="15"/>
      <c r="I216" s="13">
        <f>IF(AND($H216="",$G216=0),0,$H216-$G216)</f>
        <v>0</v>
      </c>
      <c r="J216" s="12" t="str">
        <f>IF($I216=0,"ตรงกัน","ต่างกัน — ต้องหา")</f>
        <v>ตรงกัน</v>
      </c>
    </row>
    <row r="217">
      <c r="A217" s="12" t="s">
        <v>91</v>
      </c>
      <c r="B217" s="12" t="s">
        <v>59</v>
      </c>
      <c r="C217" s="12" t="s">
        <v>76</v>
      </c>
      <c r="D217" s="14">
        <f>COUNTIFS($A$6:$A$205,$A217,$D$6:$D$205,$B217)</f>
        <v>0</v>
      </c>
      <c r="E217" s="13">
        <f>SUMIFS($E$6:$E$205,$A$6:$A$205,$A217,$D$6:$D$205,$B217)</f>
        <v>0</v>
      </c>
      <c r="F217" s="13">
        <f>SUMIFS($F$6:$F$205,$A$6:$A$205,$A217,$D$6:$D$205,$B217)</f>
        <v>0</v>
      </c>
      <c r="G217" s="13">
        <f>$E217</f>
        <v>0</v>
      </c>
      <c r="H217" s="15"/>
      <c r="I217" s="13">
        <f>IF(AND($H217="",$G217=0),0,$H217-$G217)</f>
        <v>0</v>
      </c>
      <c r="J217" s="12" t="str">
        <f>IF($I217=0,"ตรงกัน","ต่างกัน — ต้องหา")</f>
        <v>ตรงกัน</v>
      </c>
    </row>
    <row r="218">
      <c r="A218" s="12" t="s">
        <v>91</v>
      </c>
      <c r="B218" s="12" t="s">
        <v>77</v>
      </c>
      <c r="C218" s="12" t="s">
        <v>78</v>
      </c>
      <c r="D218" s="14">
        <f>COUNTIFS($A$6:$A$205,$A218,$D$6:$D$205,$B218)</f>
        <v>0</v>
      </c>
      <c r="E218" s="13">
        <f>SUMIFS($E$6:$E$205,$A$6:$A$205,$A218,$D$6:$D$205,$B218)</f>
        <v>0</v>
      </c>
      <c r="F218" s="13">
        <f>SUMIFS($F$6:$F$205,$A$6:$A$205,$A218,$D$6:$D$205,$B218)</f>
        <v>0</v>
      </c>
      <c r="G218" s="13">
        <f>$E218</f>
        <v>0</v>
      </c>
      <c r="H218" s="15"/>
      <c r="I218" s="13">
        <f>IF(AND($H218="",$G218=0),0,$H218-$G218)</f>
        <v>0</v>
      </c>
      <c r="J218" s="12" t="str">
        <f>IF($I218=0,"ตรงกัน","ต่างกัน — ต้องหา")</f>
        <v>ตรงกัน</v>
      </c>
    </row>
    <row r="219">
      <c r="A219" s="12" t="s">
        <v>91</v>
      </c>
      <c r="B219" s="12" t="s">
        <v>79</v>
      </c>
      <c r="C219" s="12" t="s">
        <v>80</v>
      </c>
      <c r="D219" s="14">
        <f>COUNTIFS($A$6:$A$205,$A219,$D$6:$D$205,$B219)</f>
        <v>0</v>
      </c>
      <c r="E219" s="13">
        <f>SUMIFS($E$6:$E$205,$A$6:$A$205,$A219,$D$6:$D$205,$B219)</f>
        <v>0</v>
      </c>
      <c r="F219" s="13">
        <f>SUMIFS($F$6:$F$205,$A$6:$A$205,$A219,$D$6:$D$205,$B219)</f>
        <v>0</v>
      </c>
      <c r="G219" s="13">
        <f>$E219+SUMIF($A$6:$A$205,$A219,$F$6:$F$205)</f>
        <v>0</v>
      </c>
      <c r="H219" s="15"/>
      <c r="I219" s="13">
        <f>IF(AND($H219="",$G219=0),0,$H219-$G219)</f>
        <v>0</v>
      </c>
      <c r="J219" s="12" t="str">
        <f>IF($I219=0,"ตรงกัน","ต่างกัน — ต้องหา")</f>
        <v>ตรงกัน</v>
      </c>
    </row>
    <row r="220">
      <c r="A220" s="12" t="s">
        <v>91</v>
      </c>
      <c r="B220" s="12" t="s">
        <v>81</v>
      </c>
      <c r="C220" s="12" t="s">
        <v>82</v>
      </c>
      <c r="D220" s="14">
        <f>COUNTIFS($A$6:$A$205,$A220,$D$6:$D$205,$B220)</f>
        <v>0</v>
      </c>
      <c r="E220" s="13">
        <f>SUMIFS($E$6:$E$205,$A$6:$A$205,$A220,$D$6:$D$205,$B220)</f>
        <v>0</v>
      </c>
      <c r="F220" s="13">
        <f>SUMIFS($F$6:$F$205,$A$6:$A$205,$A220,$D$6:$D$205,$B220)</f>
        <v>0</v>
      </c>
      <c r="G220" s="13">
        <f>$E220</f>
        <v>0</v>
      </c>
      <c r="H220" s="15"/>
      <c r="I220" s="13">
        <f>IF(AND($H220="",$G220=0),0,$H220-$G220)</f>
        <v>0</v>
      </c>
      <c r="J220" s="12" t="str">
        <f>IF($I220=0,"ตรงกัน","ต่างกัน — ต้องหา")</f>
        <v>ตรงกัน</v>
      </c>
    </row>
    <row r="221">
      <c r="A221" s="12" t="s">
        <v>91</v>
      </c>
      <c r="B221" s="12" t="s">
        <v>83</v>
      </c>
      <c r="C221" s="12" t="s">
        <v>84</v>
      </c>
      <c r="D221" s="14">
        <f>COUNTIFS($A$6:$A$205,$A221,$D$6:$D$205,$B221)</f>
        <v>0</v>
      </c>
      <c r="E221" s="13">
        <f>SUMIFS($E$6:$E$205,$A$6:$A$205,$A221,$D$6:$D$205,$B221)</f>
        <v>0</v>
      </c>
      <c r="F221" s="13">
        <f>SUMIFS($F$6:$F$205,$A$6:$A$205,$A221,$D$6:$D$205,$B221)</f>
        <v>0</v>
      </c>
      <c r="G221" s="13">
        <f>$E221</f>
        <v>0</v>
      </c>
      <c r="H221" s="15"/>
      <c r="I221" s="13">
        <f>IF(AND($H221="",$G221=0),0,$H221-$G221)</f>
        <v>0</v>
      </c>
      <c r="J221" s="12" t="str">
        <f>IF($I221=0,"ตรงกัน","ต่างกัน — ต้องหา")</f>
        <v>ตรงกัน</v>
      </c>
    </row>
    <row r="222">
      <c r="A222" s="12" t="s">
        <v>91</v>
      </c>
      <c r="B222" s="12" t="s">
        <v>85</v>
      </c>
      <c r="C222" s="12" t="s">
        <v>86</v>
      </c>
      <c r="D222" s="14">
        <f>COUNTIFS($A$6:$A$205,$A222,$D$6:$D$205,$B222)</f>
        <v>0</v>
      </c>
      <c r="E222" s="13">
        <f>SUMIFS($E$6:$E$205,$A$6:$A$205,$A222,$D$6:$D$205,$B222)</f>
        <v>0</v>
      </c>
      <c r="F222" s="13">
        <f>SUMIFS($F$6:$F$205,$A$6:$A$205,$A222,$D$6:$D$205,$B222)</f>
        <v>0</v>
      </c>
      <c r="G222" s="13">
        <f>$E222</f>
        <v>0</v>
      </c>
      <c r="H222" s="15"/>
      <c r="I222" s="13">
        <f>IF(AND($H222="",$G222=0),0,$H222-$G222)</f>
        <v>0</v>
      </c>
      <c r="J222" s="12" t="str">
        <f>IF($I222=0,"ตรงกัน","ต่างกัน — ต้องหา")</f>
        <v>ตรงกัน</v>
      </c>
    </row>
    <row r="223">
      <c r="A223" s="12" t="s">
        <v>91</v>
      </c>
      <c r="B223" s="12" t="s">
        <v>87</v>
      </c>
      <c r="C223" s="12" t="s">
        <v>88</v>
      </c>
      <c r="D223" s="14">
        <f>COUNTIFS($A$6:$A$205,$A223,$D$6:$D$205,$B223)</f>
        <v>0</v>
      </c>
      <c r="E223" s="13">
        <f>SUMIFS($E$6:$E$205,$A$6:$A$205,$A223,$D$6:$D$205,$B223)</f>
        <v>0</v>
      </c>
      <c r="F223" s="13">
        <f>SUMIFS($F$6:$F$205,$A$6:$A$205,$A223,$D$6:$D$205,$B223)</f>
        <v>0</v>
      </c>
      <c r="G223" s="13">
        <f>$E223</f>
        <v>0</v>
      </c>
      <c r="H223" s="15"/>
      <c r="I223" s="13">
        <f>IF(AND($H223="",$G223=0),0,$H223-$G223)</f>
        <v>0</v>
      </c>
      <c r="J223" s="12" t="str">
        <f>IF($I223=0,"ตรงกัน","ต่างกัน — ต้องหา")</f>
        <v>ตรงกัน</v>
      </c>
    </row>
    <row r="224">
      <c r="A224" s="12" t="s">
        <v>91</v>
      </c>
      <c r="B224" s="12" t="s">
        <v>89</v>
      </c>
      <c r="C224" s="12" t="s">
        <v>90</v>
      </c>
      <c r="D224" s="14">
        <f>COUNTIFS($A$6:$A$205,$A224,$D$6:$D$205,$B224)</f>
        <v>0</v>
      </c>
      <c r="E224" s="13">
        <f>SUMIFS($E$6:$E$205,$A$6:$A$205,$A224,$D$6:$D$205,$B224)</f>
        <v>0</v>
      </c>
      <c r="F224" s="13">
        <f>SUMIFS($F$6:$F$205,$A$6:$A$205,$A224,$D$6:$D$205,$B224)</f>
        <v>0</v>
      </c>
      <c r="G224" s="13">
        <f>$E224</f>
        <v>0</v>
      </c>
      <c r="H224" s="15"/>
      <c r="I224" s="13">
        <f>IF(AND($H224="",$G224=0),0,$H224-$G224)</f>
        <v>0</v>
      </c>
      <c r="J224" s="12" t="str">
        <f>IF($I224=0,"ตรงกัน","ต่างกัน — ต้องหา")</f>
        <v>ตรงกัน</v>
      </c>
    </row>
    <row r="225">
      <c r="A225" s="12" t="s">
        <v>56</v>
      </c>
      <c r="B225" s="12" t="s">
        <v>59</v>
      </c>
      <c r="C225" s="12" t="s">
        <v>76</v>
      </c>
      <c r="D225" s="14">
        <f>COUNTIFS($A$6:$A$205,$A225,$D$6:$D$205,$B225)</f>
        <v>2</v>
      </c>
      <c r="E225" s="13">
        <f>SUMIFS($E$6:$E$205,$A$6:$A$205,$A225,$D$6:$D$205,$B225)</f>
        <v>8000000</v>
      </c>
      <c r="F225" s="13">
        <f>SUMIFS($F$6:$F$205,$A$6:$A$205,$A225,$D$6:$D$205,$B225)</f>
        <v>500000</v>
      </c>
      <c r="G225" s="13">
        <f>$E225</f>
        <v>8000000</v>
      </c>
      <c r="H225" s="15">
        <v>8000000</v>
      </c>
      <c r="I225" s="13">
        <f>IF(AND($H225="",$G225=0),0,$H225-$G225)</f>
        <v>0</v>
      </c>
      <c r="J225" s="12" t="str">
        <f>IF($I225=0,"ตรงกัน","ต่างกัน — ต้องหา")</f>
        <v>ตรงกัน</v>
      </c>
    </row>
    <row r="226">
      <c r="A226" s="12" t="s">
        <v>56</v>
      </c>
      <c r="B226" s="12" t="s">
        <v>77</v>
      </c>
      <c r="C226" s="12" t="s">
        <v>78</v>
      </c>
      <c r="D226" s="14">
        <f>COUNTIFS($A$6:$A$205,$A226,$D$6:$D$205,$B226)</f>
        <v>0</v>
      </c>
      <c r="E226" s="13">
        <f>SUMIFS($E$6:$E$205,$A$6:$A$205,$A226,$D$6:$D$205,$B226)</f>
        <v>0</v>
      </c>
      <c r="F226" s="13">
        <f>SUMIFS($F$6:$F$205,$A$6:$A$205,$A226,$D$6:$D$205,$B226)</f>
        <v>0</v>
      </c>
      <c r="G226" s="13">
        <f>$E226</f>
        <v>0</v>
      </c>
      <c r="H226" s="15"/>
      <c r="I226" s="13">
        <f>IF(AND($H226="",$G226=0),0,$H226-$G226)</f>
        <v>0</v>
      </c>
      <c r="J226" s="12" t="str">
        <f>IF($I226=0,"ตรงกัน","ต่างกัน — ต้องหา")</f>
        <v>ตรงกัน</v>
      </c>
    </row>
    <row r="227">
      <c r="A227" s="12" t="s">
        <v>56</v>
      </c>
      <c r="B227" s="12" t="s">
        <v>79</v>
      </c>
      <c r="C227" s="12" t="s">
        <v>80</v>
      </c>
      <c r="D227" s="14">
        <f>COUNTIFS($A$6:$A$205,$A227,$D$6:$D$205,$B227)</f>
        <v>0</v>
      </c>
      <c r="E227" s="13">
        <f>SUMIFS($E$6:$E$205,$A$6:$A$205,$A227,$D$6:$D$205,$B227)</f>
        <v>0</v>
      </c>
      <c r="F227" s="13">
        <f>SUMIFS($F$6:$F$205,$A$6:$A$205,$A227,$D$6:$D$205,$B227)</f>
        <v>0</v>
      </c>
      <c r="G227" s="13">
        <f>$E227+SUMIF($A$6:$A$205,$A227,$F$6:$F$205)</f>
        <v>500000</v>
      </c>
      <c r="H227" s="15">
        <v>500000</v>
      </c>
      <c r="I227" s="13">
        <f>IF(AND($H227="",$G227=0),0,$H227-$G227)</f>
        <v>0</v>
      </c>
      <c r="J227" s="12" t="str">
        <f>IF($I227=0,"ตรงกัน","ต่างกัน — ต้องหา")</f>
        <v>ตรงกัน</v>
      </c>
    </row>
    <row r="228">
      <c r="A228" s="12" t="s">
        <v>56</v>
      </c>
      <c r="B228" s="12" t="s">
        <v>81</v>
      </c>
      <c r="C228" s="12" t="s">
        <v>82</v>
      </c>
      <c r="D228" s="14">
        <f>COUNTIFS($A$6:$A$205,$A228,$D$6:$D$205,$B228)</f>
        <v>0</v>
      </c>
      <c r="E228" s="13">
        <f>SUMIFS($E$6:$E$205,$A$6:$A$205,$A228,$D$6:$D$205,$B228)</f>
        <v>0</v>
      </c>
      <c r="F228" s="13">
        <f>SUMIFS($F$6:$F$205,$A$6:$A$205,$A228,$D$6:$D$205,$B228)</f>
        <v>0</v>
      </c>
      <c r="G228" s="13">
        <f>$E228</f>
        <v>0</v>
      </c>
      <c r="H228" s="15"/>
      <c r="I228" s="13">
        <f>IF(AND($H228="",$G228=0),0,$H228-$G228)</f>
        <v>0</v>
      </c>
      <c r="J228" s="12" t="str">
        <f>IF($I228=0,"ตรงกัน","ต่างกัน — ต้องหา")</f>
        <v>ตรงกัน</v>
      </c>
    </row>
    <row r="229">
      <c r="A229" s="12" t="s">
        <v>56</v>
      </c>
      <c r="B229" s="12" t="s">
        <v>83</v>
      </c>
      <c r="C229" s="12" t="s">
        <v>84</v>
      </c>
      <c r="D229" s="14">
        <f>COUNTIFS($A$6:$A$205,$A229,$D$6:$D$205,$B229)</f>
        <v>0</v>
      </c>
      <c r="E229" s="13">
        <f>SUMIFS($E$6:$E$205,$A$6:$A$205,$A229,$D$6:$D$205,$B229)</f>
        <v>0</v>
      </c>
      <c r="F229" s="13">
        <f>SUMIFS($F$6:$F$205,$A$6:$A$205,$A229,$D$6:$D$205,$B229)</f>
        <v>0</v>
      </c>
      <c r="G229" s="13">
        <f>$E229</f>
        <v>0</v>
      </c>
      <c r="H229" s="15"/>
      <c r="I229" s="13">
        <f>IF(AND($H229="",$G229=0),0,$H229-$G229)</f>
        <v>0</v>
      </c>
      <c r="J229" s="12" t="str">
        <f>IF($I229=0,"ตรงกัน","ต่างกัน — ต้องหา")</f>
        <v>ตรงกัน</v>
      </c>
    </row>
    <row r="230">
      <c r="A230" s="12" t="s">
        <v>56</v>
      </c>
      <c r="B230" s="12" t="s">
        <v>85</v>
      </c>
      <c r="C230" s="12" t="s">
        <v>86</v>
      </c>
      <c r="D230" s="14">
        <f>COUNTIFS($A$6:$A$205,$A230,$D$6:$D$205,$B230)</f>
        <v>0</v>
      </c>
      <c r="E230" s="13">
        <f>SUMIFS($E$6:$E$205,$A$6:$A$205,$A230,$D$6:$D$205,$B230)</f>
        <v>0</v>
      </c>
      <c r="F230" s="13">
        <f>SUMIFS($F$6:$F$205,$A$6:$A$205,$A230,$D$6:$D$205,$B230)</f>
        <v>0</v>
      </c>
      <c r="G230" s="13">
        <f>$E230</f>
        <v>0</v>
      </c>
      <c r="H230" s="15"/>
      <c r="I230" s="13">
        <f>IF(AND($H230="",$G230=0),0,$H230-$G230)</f>
        <v>0</v>
      </c>
      <c r="J230" s="12" t="str">
        <f>IF($I230=0,"ตรงกัน","ต่างกัน — ต้องหา")</f>
        <v>ตรงกัน</v>
      </c>
    </row>
    <row r="231">
      <c r="A231" s="12" t="s">
        <v>56</v>
      </c>
      <c r="B231" s="12" t="s">
        <v>87</v>
      </c>
      <c r="C231" s="12" t="s">
        <v>88</v>
      </c>
      <c r="D231" s="14">
        <f>COUNTIFS($A$6:$A$205,$A231,$D$6:$D$205,$B231)</f>
        <v>0</v>
      </c>
      <c r="E231" s="13">
        <f>SUMIFS($E$6:$E$205,$A$6:$A$205,$A231,$D$6:$D$205,$B231)</f>
        <v>0</v>
      </c>
      <c r="F231" s="13">
        <f>SUMIFS($F$6:$F$205,$A$6:$A$205,$A231,$D$6:$D$205,$B231)</f>
        <v>0</v>
      </c>
      <c r="G231" s="13">
        <f>$E231</f>
        <v>0</v>
      </c>
      <c r="H231" s="15"/>
      <c r="I231" s="13">
        <f>IF(AND($H231="",$G231=0),0,$H231-$G231)</f>
        <v>0</v>
      </c>
      <c r="J231" s="12" t="str">
        <f>IF($I231=0,"ตรงกัน","ต่างกัน — ต้องหา")</f>
        <v>ตรงกัน</v>
      </c>
    </row>
    <row r="232">
      <c r="A232" s="12" t="s">
        <v>56</v>
      </c>
      <c r="B232" s="12" t="s">
        <v>89</v>
      </c>
      <c r="C232" s="12" t="s">
        <v>90</v>
      </c>
      <c r="D232" s="14">
        <f>COUNTIFS($A$6:$A$205,$A232,$D$6:$D$205,$B232)</f>
        <v>0</v>
      </c>
      <c r="E232" s="13">
        <f>SUMIFS($E$6:$E$205,$A$6:$A$205,$A232,$D$6:$D$205,$B232)</f>
        <v>0</v>
      </c>
      <c r="F232" s="13">
        <f>SUMIFS($F$6:$F$205,$A$6:$A$205,$A232,$D$6:$D$205,$B232)</f>
        <v>0</v>
      </c>
      <c r="G232" s="13">
        <f>$E232</f>
        <v>0</v>
      </c>
      <c r="H232" s="15"/>
      <c r="I232" s="13">
        <f>IF(AND($H232="",$G232=0),0,$H232-$G232)</f>
        <v>0</v>
      </c>
      <c r="J232" s="12" t="str">
        <f>IF($I232=0,"ตรงกัน","ต่างกัน — ต้องหา")</f>
        <v>ตรงกัน</v>
      </c>
    </row>
    <row r="233">
      <c r="A233" s="12" t="s">
        <v>92</v>
      </c>
      <c r="B233" s="12" t="s">
        <v>59</v>
      </c>
      <c r="C233" s="12" t="s">
        <v>76</v>
      </c>
      <c r="D233" s="14">
        <f>COUNTIFS($A$6:$A$205,$A233,$D$6:$D$205,$B233)</f>
        <v>0</v>
      </c>
      <c r="E233" s="13">
        <f>SUMIFS($E$6:$E$205,$A$6:$A$205,$A233,$D$6:$D$205,$B233)</f>
        <v>0</v>
      </c>
      <c r="F233" s="13">
        <f>SUMIFS($F$6:$F$205,$A$6:$A$205,$A233,$D$6:$D$205,$B233)</f>
        <v>0</v>
      </c>
      <c r="G233" s="13">
        <f>$E233</f>
        <v>0</v>
      </c>
      <c r="H233" s="15"/>
      <c r="I233" s="13">
        <f>IF(AND($H233="",$G233=0),0,$H233-$G233)</f>
        <v>0</v>
      </c>
      <c r="J233" s="12" t="str">
        <f>IF($I233=0,"ตรงกัน","ต่างกัน — ต้องหา")</f>
        <v>ตรงกัน</v>
      </c>
    </row>
    <row r="234">
      <c r="A234" s="12" t="s">
        <v>92</v>
      </c>
      <c r="B234" s="12" t="s">
        <v>77</v>
      </c>
      <c r="C234" s="12" t="s">
        <v>78</v>
      </c>
      <c r="D234" s="14">
        <f>COUNTIFS($A$6:$A$205,$A234,$D$6:$D$205,$B234)</f>
        <v>0</v>
      </c>
      <c r="E234" s="13">
        <f>SUMIFS($E$6:$E$205,$A$6:$A$205,$A234,$D$6:$D$205,$B234)</f>
        <v>0</v>
      </c>
      <c r="F234" s="13">
        <f>SUMIFS($F$6:$F$205,$A$6:$A$205,$A234,$D$6:$D$205,$B234)</f>
        <v>0</v>
      </c>
      <c r="G234" s="13">
        <f>$E234</f>
        <v>0</v>
      </c>
      <c r="H234" s="15"/>
      <c r="I234" s="13">
        <f>IF(AND($H234="",$G234=0),0,$H234-$G234)</f>
        <v>0</v>
      </c>
      <c r="J234" s="12" t="str">
        <f>IF($I234=0,"ตรงกัน","ต่างกัน — ต้องหา")</f>
        <v>ตรงกัน</v>
      </c>
    </row>
    <row r="235">
      <c r="A235" s="12" t="s">
        <v>92</v>
      </c>
      <c r="B235" s="12" t="s">
        <v>79</v>
      </c>
      <c r="C235" s="12" t="s">
        <v>80</v>
      </c>
      <c r="D235" s="14">
        <f>COUNTIFS($A$6:$A$205,$A235,$D$6:$D$205,$B235)</f>
        <v>0</v>
      </c>
      <c r="E235" s="13">
        <f>SUMIFS($E$6:$E$205,$A$6:$A$205,$A235,$D$6:$D$205,$B235)</f>
        <v>0</v>
      </c>
      <c r="F235" s="13">
        <f>SUMIFS($F$6:$F$205,$A$6:$A$205,$A235,$D$6:$D$205,$B235)</f>
        <v>0</v>
      </c>
      <c r="G235" s="13">
        <f>$E235+SUMIF($A$6:$A$205,$A235,$F$6:$F$205)</f>
        <v>0</v>
      </c>
      <c r="H235" s="15"/>
      <c r="I235" s="13">
        <f>IF(AND($H235="",$G235=0),0,$H235-$G235)</f>
        <v>0</v>
      </c>
      <c r="J235" s="12" t="str">
        <f>IF($I235=0,"ตรงกัน","ต่างกัน — ต้องหา")</f>
        <v>ตรงกัน</v>
      </c>
    </row>
    <row r="236">
      <c r="A236" s="12" t="s">
        <v>92</v>
      </c>
      <c r="B236" s="12" t="s">
        <v>81</v>
      </c>
      <c r="C236" s="12" t="s">
        <v>82</v>
      </c>
      <c r="D236" s="14">
        <f>COUNTIFS($A$6:$A$205,$A236,$D$6:$D$205,$B236)</f>
        <v>0</v>
      </c>
      <c r="E236" s="13">
        <f>SUMIFS($E$6:$E$205,$A$6:$A$205,$A236,$D$6:$D$205,$B236)</f>
        <v>0</v>
      </c>
      <c r="F236" s="13">
        <f>SUMIFS($F$6:$F$205,$A$6:$A$205,$A236,$D$6:$D$205,$B236)</f>
        <v>0</v>
      </c>
      <c r="G236" s="13">
        <f>$E236</f>
        <v>0</v>
      </c>
      <c r="H236" s="15"/>
      <c r="I236" s="13">
        <f>IF(AND($H236="",$G236=0),0,$H236-$G236)</f>
        <v>0</v>
      </c>
      <c r="J236" s="12" t="str">
        <f>IF($I236=0,"ตรงกัน","ต่างกัน — ต้องหา")</f>
        <v>ตรงกัน</v>
      </c>
    </row>
    <row r="237">
      <c r="A237" s="12" t="s">
        <v>92</v>
      </c>
      <c r="B237" s="12" t="s">
        <v>83</v>
      </c>
      <c r="C237" s="12" t="s">
        <v>84</v>
      </c>
      <c r="D237" s="14">
        <f>COUNTIFS($A$6:$A$205,$A237,$D$6:$D$205,$B237)</f>
        <v>0</v>
      </c>
      <c r="E237" s="13">
        <f>SUMIFS($E$6:$E$205,$A$6:$A$205,$A237,$D$6:$D$205,$B237)</f>
        <v>0</v>
      </c>
      <c r="F237" s="13">
        <f>SUMIFS($F$6:$F$205,$A$6:$A$205,$A237,$D$6:$D$205,$B237)</f>
        <v>0</v>
      </c>
      <c r="G237" s="13">
        <f>$E237</f>
        <v>0</v>
      </c>
      <c r="H237" s="15"/>
      <c r="I237" s="13">
        <f>IF(AND($H237="",$G237=0),0,$H237-$G237)</f>
        <v>0</v>
      </c>
      <c r="J237" s="12" t="str">
        <f>IF($I237=0,"ตรงกัน","ต่างกัน — ต้องหา")</f>
        <v>ตรงกัน</v>
      </c>
    </row>
    <row r="238">
      <c r="A238" s="12" t="s">
        <v>92</v>
      </c>
      <c r="B238" s="12" t="s">
        <v>85</v>
      </c>
      <c r="C238" s="12" t="s">
        <v>86</v>
      </c>
      <c r="D238" s="14">
        <f>COUNTIFS($A$6:$A$205,$A238,$D$6:$D$205,$B238)</f>
        <v>0</v>
      </c>
      <c r="E238" s="13">
        <f>SUMIFS($E$6:$E$205,$A$6:$A$205,$A238,$D$6:$D$205,$B238)</f>
        <v>0</v>
      </c>
      <c r="F238" s="13">
        <f>SUMIFS($F$6:$F$205,$A$6:$A$205,$A238,$D$6:$D$205,$B238)</f>
        <v>0</v>
      </c>
      <c r="G238" s="13">
        <f>$E238</f>
        <v>0</v>
      </c>
      <c r="H238" s="15"/>
      <c r="I238" s="13">
        <f>IF(AND($H238="",$G238=0),0,$H238-$G238)</f>
        <v>0</v>
      </c>
      <c r="J238" s="12" t="str">
        <f>IF($I238=0,"ตรงกัน","ต่างกัน — ต้องหา")</f>
        <v>ตรงกัน</v>
      </c>
    </row>
    <row r="239">
      <c r="A239" s="12" t="s">
        <v>92</v>
      </c>
      <c r="B239" s="12" t="s">
        <v>87</v>
      </c>
      <c r="C239" s="12" t="s">
        <v>88</v>
      </c>
      <c r="D239" s="14">
        <f>COUNTIFS($A$6:$A$205,$A239,$D$6:$D$205,$B239)</f>
        <v>0</v>
      </c>
      <c r="E239" s="13">
        <f>SUMIFS($E$6:$E$205,$A$6:$A$205,$A239,$D$6:$D$205,$B239)</f>
        <v>0</v>
      </c>
      <c r="F239" s="13">
        <f>SUMIFS($F$6:$F$205,$A$6:$A$205,$A239,$D$6:$D$205,$B239)</f>
        <v>0</v>
      </c>
      <c r="G239" s="13">
        <f>$E239</f>
        <v>0</v>
      </c>
      <c r="H239" s="15"/>
      <c r="I239" s="13">
        <f>IF(AND($H239="",$G239=0),0,$H239-$G239)</f>
        <v>0</v>
      </c>
      <c r="J239" s="12" t="str">
        <f>IF($I239=0,"ตรงกัน","ต่างกัน — ต้องหา")</f>
        <v>ตรงกัน</v>
      </c>
    </row>
    <row r="240">
      <c r="A240" s="12" t="s">
        <v>92</v>
      </c>
      <c r="B240" s="12" t="s">
        <v>89</v>
      </c>
      <c r="C240" s="12" t="s">
        <v>90</v>
      </c>
      <c r="D240" s="14">
        <f>COUNTIFS($A$6:$A$205,$A240,$D$6:$D$205,$B240)</f>
        <v>0</v>
      </c>
      <c r="E240" s="13">
        <f>SUMIFS($E$6:$E$205,$A$6:$A$205,$A240,$D$6:$D$205,$B240)</f>
        <v>0</v>
      </c>
      <c r="F240" s="13">
        <f>SUMIFS($F$6:$F$205,$A$6:$A$205,$A240,$D$6:$D$205,$B240)</f>
        <v>0</v>
      </c>
      <c r="G240" s="13">
        <f>$E240</f>
        <v>0</v>
      </c>
      <c r="H240" s="15"/>
      <c r="I240" s="13">
        <f>IF(AND($H240="",$G240=0),0,$H240-$G240)</f>
        <v>0</v>
      </c>
      <c r="J240" s="12" t="str">
        <f>IF($I240=0,"ตรงกัน","ต่างกัน — ต้องหา")</f>
        <v>ตรงกัน</v>
      </c>
    </row>
    <row r="241">
      <c r="A241" s="12" t="s">
        <v>93</v>
      </c>
      <c r="B241" s="12" t="s">
        <v>59</v>
      </c>
      <c r="C241" s="12" t="s">
        <v>76</v>
      </c>
      <c r="D241" s="14">
        <f>COUNTIFS($A$6:$A$205,$A241,$D$6:$D$205,$B241)</f>
        <v>0</v>
      </c>
      <c r="E241" s="13">
        <f>SUMIFS($E$6:$E$205,$A$6:$A$205,$A241,$D$6:$D$205,$B241)</f>
        <v>0</v>
      </c>
      <c r="F241" s="13">
        <f>SUMIFS($F$6:$F$205,$A$6:$A$205,$A241,$D$6:$D$205,$B241)</f>
        <v>0</v>
      </c>
      <c r="G241" s="13">
        <f>$E241</f>
        <v>0</v>
      </c>
      <c r="H241" s="15"/>
      <c r="I241" s="13">
        <f>IF(AND($H241="",$G241=0),0,$H241-$G241)</f>
        <v>0</v>
      </c>
      <c r="J241" s="12" t="str">
        <f>IF($I241=0,"ตรงกัน","ต่างกัน — ต้องหา")</f>
        <v>ตรงกัน</v>
      </c>
    </row>
    <row r="242">
      <c r="A242" s="12" t="s">
        <v>93</v>
      </c>
      <c r="B242" s="12" t="s">
        <v>77</v>
      </c>
      <c r="C242" s="12" t="s">
        <v>78</v>
      </c>
      <c r="D242" s="14">
        <f>COUNTIFS($A$6:$A$205,$A242,$D$6:$D$205,$B242)</f>
        <v>0</v>
      </c>
      <c r="E242" s="13">
        <f>SUMIFS($E$6:$E$205,$A$6:$A$205,$A242,$D$6:$D$205,$B242)</f>
        <v>0</v>
      </c>
      <c r="F242" s="13">
        <f>SUMIFS($F$6:$F$205,$A$6:$A$205,$A242,$D$6:$D$205,$B242)</f>
        <v>0</v>
      </c>
      <c r="G242" s="13">
        <f>$E242</f>
        <v>0</v>
      </c>
      <c r="H242" s="15"/>
      <c r="I242" s="13">
        <f>IF(AND($H242="",$G242=0),0,$H242-$G242)</f>
        <v>0</v>
      </c>
      <c r="J242" s="12" t="str">
        <f>IF($I242=0,"ตรงกัน","ต่างกัน — ต้องหา")</f>
        <v>ตรงกัน</v>
      </c>
    </row>
    <row r="243">
      <c r="A243" s="12" t="s">
        <v>93</v>
      </c>
      <c r="B243" s="12" t="s">
        <v>79</v>
      </c>
      <c r="C243" s="12" t="s">
        <v>80</v>
      </c>
      <c r="D243" s="14">
        <f>COUNTIFS($A$6:$A$205,$A243,$D$6:$D$205,$B243)</f>
        <v>0</v>
      </c>
      <c r="E243" s="13">
        <f>SUMIFS($E$6:$E$205,$A$6:$A$205,$A243,$D$6:$D$205,$B243)</f>
        <v>0</v>
      </c>
      <c r="F243" s="13">
        <f>SUMIFS($F$6:$F$205,$A$6:$A$205,$A243,$D$6:$D$205,$B243)</f>
        <v>0</v>
      </c>
      <c r="G243" s="13">
        <f>$E243+SUMIF($A$6:$A$205,$A243,$F$6:$F$205)</f>
        <v>0</v>
      </c>
      <c r="H243" s="15"/>
      <c r="I243" s="13">
        <f>IF(AND($H243="",$G243=0),0,$H243-$G243)</f>
        <v>0</v>
      </c>
      <c r="J243" s="12" t="str">
        <f>IF($I243=0,"ตรงกัน","ต่างกัน — ต้องหา")</f>
        <v>ตรงกัน</v>
      </c>
    </row>
    <row r="244">
      <c r="A244" s="12" t="s">
        <v>93</v>
      </c>
      <c r="B244" s="12" t="s">
        <v>81</v>
      </c>
      <c r="C244" s="12" t="s">
        <v>82</v>
      </c>
      <c r="D244" s="14">
        <f>COUNTIFS($A$6:$A$205,$A244,$D$6:$D$205,$B244)</f>
        <v>0</v>
      </c>
      <c r="E244" s="13">
        <f>SUMIFS($E$6:$E$205,$A$6:$A$205,$A244,$D$6:$D$205,$B244)</f>
        <v>0</v>
      </c>
      <c r="F244" s="13">
        <f>SUMIFS($F$6:$F$205,$A$6:$A$205,$A244,$D$6:$D$205,$B244)</f>
        <v>0</v>
      </c>
      <c r="G244" s="13">
        <f>$E244</f>
        <v>0</v>
      </c>
      <c r="H244" s="15"/>
      <c r="I244" s="13">
        <f>IF(AND($H244="",$G244=0),0,$H244-$G244)</f>
        <v>0</v>
      </c>
      <c r="J244" s="12" t="str">
        <f>IF($I244=0,"ตรงกัน","ต่างกัน — ต้องหา")</f>
        <v>ตรงกัน</v>
      </c>
    </row>
    <row r="245">
      <c r="A245" s="12" t="s">
        <v>93</v>
      </c>
      <c r="B245" s="12" t="s">
        <v>83</v>
      </c>
      <c r="C245" s="12" t="s">
        <v>84</v>
      </c>
      <c r="D245" s="14">
        <f>COUNTIFS($A$6:$A$205,$A245,$D$6:$D$205,$B245)</f>
        <v>0</v>
      </c>
      <c r="E245" s="13">
        <f>SUMIFS($E$6:$E$205,$A$6:$A$205,$A245,$D$6:$D$205,$B245)</f>
        <v>0</v>
      </c>
      <c r="F245" s="13">
        <f>SUMIFS($F$6:$F$205,$A$6:$A$205,$A245,$D$6:$D$205,$B245)</f>
        <v>0</v>
      </c>
      <c r="G245" s="13">
        <f>$E245</f>
        <v>0</v>
      </c>
      <c r="H245" s="15"/>
      <c r="I245" s="13">
        <f>IF(AND($H245="",$G245=0),0,$H245-$G245)</f>
        <v>0</v>
      </c>
      <c r="J245" s="12" t="str">
        <f>IF($I245=0,"ตรงกัน","ต่างกัน — ต้องหา")</f>
        <v>ตรงกัน</v>
      </c>
    </row>
    <row r="246">
      <c r="A246" s="12" t="s">
        <v>93</v>
      </c>
      <c r="B246" s="12" t="s">
        <v>85</v>
      </c>
      <c r="C246" s="12" t="s">
        <v>86</v>
      </c>
      <c r="D246" s="14">
        <f>COUNTIFS($A$6:$A$205,$A246,$D$6:$D$205,$B246)</f>
        <v>0</v>
      </c>
      <c r="E246" s="13">
        <f>SUMIFS($E$6:$E$205,$A$6:$A$205,$A246,$D$6:$D$205,$B246)</f>
        <v>0</v>
      </c>
      <c r="F246" s="13">
        <f>SUMIFS($F$6:$F$205,$A$6:$A$205,$A246,$D$6:$D$205,$B246)</f>
        <v>0</v>
      </c>
      <c r="G246" s="13">
        <f>$E246</f>
        <v>0</v>
      </c>
      <c r="H246" s="15"/>
      <c r="I246" s="13">
        <f>IF(AND($H246="",$G246=0),0,$H246-$G246)</f>
        <v>0</v>
      </c>
      <c r="J246" s="12" t="str">
        <f>IF($I246=0,"ตรงกัน","ต่างกัน — ต้องหา")</f>
        <v>ตรงกัน</v>
      </c>
    </row>
    <row r="247">
      <c r="A247" s="12" t="s">
        <v>93</v>
      </c>
      <c r="B247" s="12" t="s">
        <v>87</v>
      </c>
      <c r="C247" s="12" t="s">
        <v>88</v>
      </c>
      <c r="D247" s="14">
        <f>COUNTIFS($A$6:$A$205,$A247,$D$6:$D$205,$B247)</f>
        <v>0</v>
      </c>
      <c r="E247" s="13">
        <f>SUMIFS($E$6:$E$205,$A$6:$A$205,$A247,$D$6:$D$205,$B247)</f>
        <v>0</v>
      </c>
      <c r="F247" s="13">
        <f>SUMIFS($F$6:$F$205,$A$6:$A$205,$A247,$D$6:$D$205,$B247)</f>
        <v>0</v>
      </c>
      <c r="G247" s="13">
        <f>$E247</f>
        <v>0</v>
      </c>
      <c r="H247" s="15"/>
      <c r="I247" s="13">
        <f>IF(AND($H247="",$G247=0),0,$H247-$G247)</f>
        <v>0</v>
      </c>
      <c r="J247" s="12" t="str">
        <f>IF($I247=0,"ตรงกัน","ต่างกัน — ต้องหา")</f>
        <v>ตรงกัน</v>
      </c>
    </row>
    <row r="248">
      <c r="A248" s="12" t="s">
        <v>93</v>
      </c>
      <c r="B248" s="12" t="s">
        <v>89</v>
      </c>
      <c r="C248" s="12" t="s">
        <v>90</v>
      </c>
      <c r="D248" s="14">
        <f>COUNTIFS($A$6:$A$205,$A248,$D$6:$D$205,$B248)</f>
        <v>0</v>
      </c>
      <c r="E248" s="13">
        <f>SUMIFS($E$6:$E$205,$A$6:$A$205,$A248,$D$6:$D$205,$B248)</f>
        <v>0</v>
      </c>
      <c r="F248" s="13">
        <f>SUMIFS($F$6:$F$205,$A$6:$A$205,$A248,$D$6:$D$205,$B248)</f>
        <v>0</v>
      </c>
      <c r="G248" s="13">
        <f>$E248</f>
        <v>0</v>
      </c>
      <c r="H248" s="15"/>
      <c r="I248" s="13">
        <f>IF(AND($H248="",$G248=0),0,$H248-$G248)</f>
        <v>0</v>
      </c>
      <c r="J248" s="12" t="str">
        <f>IF($I248=0,"ตรงกัน","ต่างกัน — ต้องหา")</f>
        <v>ตรงกัน</v>
      </c>
    </row>
    <row r="249">
      <c r="A249" s="12" t="s">
        <v>94</v>
      </c>
      <c r="B249" s="12" t="s">
        <v>59</v>
      </c>
      <c r="C249" s="12" t="s">
        <v>76</v>
      </c>
      <c r="D249" s="14">
        <f>COUNTIFS($A$6:$A$205,$A249,$D$6:$D$205,$B249)</f>
        <v>0</v>
      </c>
      <c r="E249" s="13">
        <f>SUMIFS($E$6:$E$205,$A$6:$A$205,$A249,$D$6:$D$205,$B249)</f>
        <v>0</v>
      </c>
      <c r="F249" s="13">
        <f>SUMIFS($F$6:$F$205,$A$6:$A$205,$A249,$D$6:$D$205,$B249)</f>
        <v>0</v>
      </c>
      <c r="G249" s="13">
        <f>$E249</f>
        <v>0</v>
      </c>
      <c r="H249" s="15"/>
      <c r="I249" s="13">
        <f>IF(AND($H249="",$G249=0),0,$H249-$G249)</f>
        <v>0</v>
      </c>
      <c r="J249" s="12" t="str">
        <f>IF($I249=0,"ตรงกัน","ต่างกัน — ต้องหา")</f>
        <v>ตรงกัน</v>
      </c>
    </row>
    <row r="250">
      <c r="A250" s="12" t="s">
        <v>94</v>
      </c>
      <c r="B250" s="12" t="s">
        <v>77</v>
      </c>
      <c r="C250" s="12" t="s">
        <v>78</v>
      </c>
      <c r="D250" s="14">
        <f>COUNTIFS($A$6:$A$205,$A250,$D$6:$D$205,$B250)</f>
        <v>0</v>
      </c>
      <c r="E250" s="13">
        <f>SUMIFS($E$6:$E$205,$A$6:$A$205,$A250,$D$6:$D$205,$B250)</f>
        <v>0</v>
      </c>
      <c r="F250" s="13">
        <f>SUMIFS($F$6:$F$205,$A$6:$A$205,$A250,$D$6:$D$205,$B250)</f>
        <v>0</v>
      </c>
      <c r="G250" s="13">
        <f>$E250</f>
        <v>0</v>
      </c>
      <c r="H250" s="15"/>
      <c r="I250" s="13">
        <f>IF(AND($H250="",$G250=0),0,$H250-$G250)</f>
        <v>0</v>
      </c>
      <c r="J250" s="12" t="str">
        <f>IF($I250=0,"ตรงกัน","ต่างกัน — ต้องหา")</f>
        <v>ตรงกัน</v>
      </c>
    </row>
    <row r="251">
      <c r="A251" s="12" t="s">
        <v>94</v>
      </c>
      <c r="B251" s="12" t="s">
        <v>79</v>
      </c>
      <c r="C251" s="12" t="s">
        <v>80</v>
      </c>
      <c r="D251" s="14">
        <f>COUNTIFS($A$6:$A$205,$A251,$D$6:$D$205,$B251)</f>
        <v>0</v>
      </c>
      <c r="E251" s="13">
        <f>SUMIFS($E$6:$E$205,$A$6:$A$205,$A251,$D$6:$D$205,$B251)</f>
        <v>0</v>
      </c>
      <c r="F251" s="13">
        <f>SUMIFS($F$6:$F$205,$A$6:$A$205,$A251,$D$6:$D$205,$B251)</f>
        <v>0</v>
      </c>
      <c r="G251" s="13">
        <f>$E251+SUMIF($A$6:$A$205,$A251,$F$6:$F$205)</f>
        <v>0</v>
      </c>
      <c r="H251" s="15"/>
      <c r="I251" s="13">
        <f>IF(AND($H251="",$G251=0),0,$H251-$G251)</f>
        <v>0</v>
      </c>
      <c r="J251" s="12" t="str">
        <f>IF($I251=0,"ตรงกัน","ต่างกัน — ต้องหา")</f>
        <v>ตรงกัน</v>
      </c>
    </row>
    <row r="252">
      <c r="A252" s="12" t="s">
        <v>94</v>
      </c>
      <c r="B252" s="12" t="s">
        <v>81</v>
      </c>
      <c r="C252" s="12" t="s">
        <v>82</v>
      </c>
      <c r="D252" s="14">
        <f>COUNTIFS($A$6:$A$205,$A252,$D$6:$D$205,$B252)</f>
        <v>0</v>
      </c>
      <c r="E252" s="13">
        <f>SUMIFS($E$6:$E$205,$A$6:$A$205,$A252,$D$6:$D$205,$B252)</f>
        <v>0</v>
      </c>
      <c r="F252" s="13">
        <f>SUMIFS($F$6:$F$205,$A$6:$A$205,$A252,$D$6:$D$205,$B252)</f>
        <v>0</v>
      </c>
      <c r="G252" s="13">
        <f>$E252</f>
        <v>0</v>
      </c>
      <c r="H252" s="15"/>
      <c r="I252" s="13">
        <f>IF(AND($H252="",$G252=0),0,$H252-$G252)</f>
        <v>0</v>
      </c>
      <c r="J252" s="12" t="str">
        <f>IF($I252=0,"ตรงกัน","ต่างกัน — ต้องหา")</f>
        <v>ตรงกัน</v>
      </c>
    </row>
    <row r="253">
      <c r="A253" s="12" t="s">
        <v>94</v>
      </c>
      <c r="B253" s="12" t="s">
        <v>83</v>
      </c>
      <c r="C253" s="12" t="s">
        <v>84</v>
      </c>
      <c r="D253" s="14">
        <f>COUNTIFS($A$6:$A$205,$A253,$D$6:$D$205,$B253)</f>
        <v>0</v>
      </c>
      <c r="E253" s="13">
        <f>SUMIFS($E$6:$E$205,$A$6:$A$205,$A253,$D$6:$D$205,$B253)</f>
        <v>0</v>
      </c>
      <c r="F253" s="13">
        <f>SUMIFS($F$6:$F$205,$A$6:$A$205,$A253,$D$6:$D$205,$B253)</f>
        <v>0</v>
      </c>
      <c r="G253" s="13">
        <f>$E253</f>
        <v>0</v>
      </c>
      <c r="H253" s="15"/>
      <c r="I253" s="13">
        <f>IF(AND($H253="",$G253=0),0,$H253-$G253)</f>
        <v>0</v>
      </c>
      <c r="J253" s="12" t="str">
        <f>IF($I253=0,"ตรงกัน","ต่างกัน — ต้องหา")</f>
        <v>ตรงกัน</v>
      </c>
    </row>
    <row r="254">
      <c r="A254" s="12" t="s">
        <v>94</v>
      </c>
      <c r="B254" s="12" t="s">
        <v>85</v>
      </c>
      <c r="C254" s="12" t="s">
        <v>86</v>
      </c>
      <c r="D254" s="14">
        <f>COUNTIFS($A$6:$A$205,$A254,$D$6:$D$205,$B254)</f>
        <v>0</v>
      </c>
      <c r="E254" s="13">
        <f>SUMIFS($E$6:$E$205,$A$6:$A$205,$A254,$D$6:$D$205,$B254)</f>
        <v>0</v>
      </c>
      <c r="F254" s="13">
        <f>SUMIFS($F$6:$F$205,$A$6:$A$205,$A254,$D$6:$D$205,$B254)</f>
        <v>0</v>
      </c>
      <c r="G254" s="13">
        <f>$E254</f>
        <v>0</v>
      </c>
      <c r="H254" s="15"/>
      <c r="I254" s="13">
        <f>IF(AND($H254="",$G254=0),0,$H254-$G254)</f>
        <v>0</v>
      </c>
      <c r="J254" s="12" t="str">
        <f>IF($I254=0,"ตรงกัน","ต่างกัน — ต้องหา")</f>
        <v>ตรงกัน</v>
      </c>
    </row>
    <row r="255">
      <c r="A255" s="12" t="s">
        <v>94</v>
      </c>
      <c r="B255" s="12" t="s">
        <v>87</v>
      </c>
      <c r="C255" s="12" t="s">
        <v>88</v>
      </c>
      <c r="D255" s="14">
        <f>COUNTIFS($A$6:$A$205,$A255,$D$6:$D$205,$B255)</f>
        <v>0</v>
      </c>
      <c r="E255" s="13">
        <f>SUMIFS($E$6:$E$205,$A$6:$A$205,$A255,$D$6:$D$205,$B255)</f>
        <v>0</v>
      </c>
      <c r="F255" s="13">
        <f>SUMIFS($F$6:$F$205,$A$6:$A$205,$A255,$D$6:$D$205,$B255)</f>
        <v>0</v>
      </c>
      <c r="G255" s="13">
        <f>$E255</f>
        <v>0</v>
      </c>
      <c r="H255" s="15"/>
      <c r="I255" s="13">
        <f>IF(AND($H255="",$G255=0),0,$H255-$G255)</f>
        <v>0</v>
      </c>
      <c r="J255" s="12" t="str">
        <f>IF($I255=0,"ตรงกัน","ต่างกัน — ต้องหา")</f>
        <v>ตรงกัน</v>
      </c>
    </row>
    <row r="256">
      <c r="A256" s="12" t="s">
        <v>94</v>
      </c>
      <c r="B256" s="12" t="s">
        <v>89</v>
      </c>
      <c r="C256" s="12" t="s">
        <v>90</v>
      </c>
      <c r="D256" s="14">
        <f>COUNTIFS($A$6:$A$205,$A256,$D$6:$D$205,$B256)</f>
        <v>0</v>
      </c>
      <c r="E256" s="13">
        <f>SUMIFS($E$6:$E$205,$A$6:$A$205,$A256,$D$6:$D$205,$B256)</f>
        <v>0</v>
      </c>
      <c r="F256" s="13">
        <f>SUMIFS($F$6:$F$205,$A$6:$A$205,$A256,$D$6:$D$205,$B256)</f>
        <v>0</v>
      </c>
      <c r="G256" s="13">
        <f>$E256</f>
        <v>0</v>
      </c>
      <c r="H256" s="15"/>
      <c r="I256" s="13">
        <f>IF(AND($H256="",$G256=0),0,$H256-$G256)</f>
        <v>0</v>
      </c>
      <c r="J256" s="12" t="str">
        <f>IF($I256=0,"ตรงกัน","ต่างกัน — ต้องหา")</f>
        <v>ตรงกัน</v>
      </c>
    </row>
    <row r="258">
      <c r="A258" s="2" t="s">
        <v>95</v>
      </c>
    </row>
    <row r="259" ht="24" customHeight="1">
      <c r="A259" s="16" t="s">
        <v>96</v>
      </c>
      <c r="B259" s="16"/>
      <c r="C259" s="16"/>
      <c r="D259" s="16"/>
      <c r="E259" s="18">
        <f>COUNTIFS($E$6:$E$205,"&lt;&gt;",$A$6:$A$205,"")</f>
        <v>0</v>
      </c>
    </row>
    <row r="260" ht="24" customHeight="1">
      <c r="A260" s="16" t="s">
        <v>97</v>
      </c>
      <c r="B260" s="16"/>
      <c r="C260" s="16"/>
      <c r="D260" s="16"/>
      <c r="E260" s="18">
        <f>COUNTIFS($E$6:$E$205,"&lt;&gt;",$D$6:$D$205,"")</f>
        <v>0</v>
      </c>
    </row>
    <row r="261" ht="24" customHeight="1">
      <c r="A261" s="16" t="s">
        <v>98</v>
      </c>
      <c r="B261" s="16"/>
      <c r="C261" s="16"/>
      <c r="D261" s="16"/>
      <c r="E261" s="18">
        <f>COUNTA($A$6:$A$205)-SUMPRODUCT(COUNTIF($A$6:$A$205,{"SRI Corporation";"สุธี";"ธนากร";"ธนวินท์";"เบ็ญจพร";"สุดจิตต์"}))</f>
        <v>0</v>
      </c>
    </row>
    <row r="262" ht="24" customHeight="1">
      <c r="A262" s="16" t="s">
        <v>99</v>
      </c>
      <c r="B262" s="16"/>
      <c r="C262" s="16"/>
      <c r="D262" s="16"/>
      <c r="E262" s="18">
        <f>COUNTA($D$6:$D$205)-SUMPRODUCT(COUNTIF($D$6:$D$205,{"1500";"1520";"1510";"1300";"1320";"1400";"1410";"1600"}))</f>
        <v>0</v>
      </c>
    </row>
    <row r="263" ht="24" customHeight="1">
      <c r="A263" s="16" t="s">
        <v>100</v>
      </c>
      <c r="B263" s="16"/>
      <c r="C263" s="16"/>
      <c r="D263" s="16"/>
      <c r="E263" s="17">
        <f>SUMIFS($F$6:$F$205,$D$6:$D$205,"1510")</f>
        <v>0</v>
      </c>
    </row>
    <row r="264" ht="24" customHeight="1">
      <c r="A264" s="16" t="s">
        <v>101</v>
      </c>
      <c r="B264" s="16"/>
      <c r="C264" s="16"/>
      <c r="D264" s="16"/>
      <c r="E264" s="17">
        <f>SUM($E$6:$E$205)-SUM($E$209:$E$256)</f>
        <v>0</v>
      </c>
    </row>
    <row r="265" ht="24" customHeight="1">
      <c r="A265" s="16" t="s">
        <v>102</v>
      </c>
      <c r="B265" s="16"/>
      <c r="C265" s="16"/>
      <c r="D265" s="16"/>
      <c r="E265" s="17">
        <f>SUM($F$6:$F$205)-SUM($F$209:$F$256)</f>
        <v>0</v>
      </c>
    </row>
    <row r="266" ht="24" customHeight="1">
      <c r="A266" s="16" t="s">
        <v>103</v>
      </c>
      <c r="B266" s="16"/>
      <c r="C266" s="16"/>
      <c r="D266" s="16"/>
      <c r="E266" s="17">
        <f>SUM($I$209:$I$256)</f>
        <v>0</v>
      </c>
    </row>
    <row r="267" ht="24" customHeight="1">
      <c r="A267" s="16" t="s">
        <v>104</v>
      </c>
      <c r="B267" s="16"/>
      <c r="C267" s="16"/>
      <c r="D267" s="16"/>
      <c r="E267" s="18">
        <f>COUNTIF($J$209:$J$256,"ต่างกัน*")</f>
        <v>0</v>
      </c>
    </row>
  </sheetData>
  <dataValidations count="2">
    <dataValidation type="list" allowBlank="1" showInputMessage="1" showErrorMessage="1" errorTitle="ค่าไม่ถูกต้อง" error="เลือกจากรายการเท่านั้น" sqref="A6:A205">
      <formula1>"SRI Corporation,สุธี,ธนากร,ธนวินท์,เบ็ญจพร,สุดจิตต์"</formula1>
    </dataValidation>
    <dataValidation type="list" allowBlank="1" showInputMessage="1" showErrorMessage="1" errorTitle="ค่าไม่ถูกต้อง" error="เลือกจากรายการเท่านั้น" sqref="D6:D205">
      <formula1>"1500,1520,1510,1300,1320,1400,1410,1600"</formula1>
    </dataValidation>
  </dataValidations>
</worksheet>
</file>