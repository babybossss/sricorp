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BS-SRI Corporation" sheetId="2" state="visible" r:id="rId2"/>
    <sheet xmlns:r="http://schemas.openxmlformats.org/officeDocument/2006/relationships" name="BS-สุธี" sheetId="3" state="visible" r:id="rId3"/>
    <sheet xmlns:r="http://schemas.openxmlformats.org/officeDocument/2006/relationships" name="BS-ธนากร" sheetId="4" state="visible" r:id="rId4"/>
    <sheet xmlns:r="http://schemas.openxmlformats.org/officeDocument/2006/relationships" name="BS-ธนวินท์" sheetId="5" state="visible" r:id="rId5"/>
    <sheet xmlns:r="http://schemas.openxmlformats.org/officeDocument/2006/relationships" name="BS-เบ็ญจพร" sheetId="6" state="visible" r:id="rId6"/>
    <sheet xmlns:r="http://schemas.openxmlformats.org/officeDocument/2006/relationships" name="BS-สุดจิตต์" sheetId="7" state="visible" r:id="rId7"/>
    <sheet xmlns:r="http://schemas.openxmlformats.org/officeDocument/2006/relationships" name="รวมทุกผู้ถือ" sheetId="8" state="visible" r:id="rId8"/>
    <sheet xmlns:r="http://schemas.openxmlformats.org/officeDocument/2006/relationships" name="พอร์ตลงทุน (รายล็อต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yyyy-mm-dd"/>
  </numFmts>
  <fonts count="10">
    <font>
      <name val="Calibri"/>
      <family val="2"/>
      <color theme="1"/>
      <sz val="11"/>
      <scheme val="minor"/>
    </font>
    <font>
      <name val="IBM Plex Sans Thai"/>
      <b val="1"/>
      <color rgb="00004AAD"/>
      <sz val="18"/>
    </font>
    <font>
      <name val="IBM Plex Sans Thai"/>
      <color rgb="00425466"/>
      <sz val="10"/>
    </font>
    <font>
      <name val="IBM Plex Sans Thai"/>
      <b val="1"/>
      <color rgb="000A2540"/>
      <sz val="12"/>
    </font>
    <font>
      <name val="IBM Plex Sans Thai"/>
      <b val="1"/>
      <color rgb="000E7C4A"/>
      <sz val="11"/>
    </font>
    <font>
      <name val="IBM Plex Sans Thai"/>
      <color rgb="000A2540"/>
      <sz val="11"/>
    </font>
    <font>
      <name val="IBM Plex Sans Thai"/>
      <b val="1"/>
      <color rgb="00B3261E"/>
      <sz val="11"/>
    </font>
    <font>
      <name val="IBM Plex Sans Thai"/>
      <b val="1"/>
      <color rgb="000A2540"/>
      <sz val="11"/>
    </font>
    <font>
      <name val="IBM Plex Sans Thai"/>
      <b val="1"/>
      <color rgb="00004AAD"/>
      <sz val="16"/>
    </font>
    <font>
      <name val="IBM Plex Sans Thai"/>
      <color rgb="006B7280"/>
      <sz val="11"/>
    </font>
  </fonts>
  <fills count="8">
    <fill>
      <patternFill/>
    </fill>
    <fill>
      <patternFill patternType="gray125"/>
    </fill>
    <fill>
      <patternFill patternType="solid">
        <fgColor rgb="00FDF3E4"/>
      </patternFill>
    </fill>
    <fill>
      <patternFill patternType="solid">
        <fgColor rgb="00EEF4FC"/>
      </patternFill>
    </fill>
    <fill>
      <patternFill patternType="solid">
        <fgColor rgb="00F0F1F3"/>
      </patternFill>
    </fill>
    <fill>
      <patternFill patternType="solid">
        <fgColor rgb="00FDF2F4"/>
      </patternFill>
    </fill>
    <fill>
      <patternFill patternType="solid">
        <fgColor rgb="00F6F9FC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8" fillId="0" borderId="0" pivotButton="0" quotePrefix="0" xfId="0"/>
    <xf numFmtId="0" fontId="2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9" fillId="4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0" fillId="7" borderId="1" pivotButton="0" quotePrefix="0" xfId="0"/>
    <xf numFmtId="0" fontId="7" fillId="7" borderId="1" pivotButton="0" quotePrefix="0" xfId="0"/>
    <xf numFmtId="164" fontId="7" fillId="7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2" fillId="0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9" fillId="0" borderId="1" pivotButton="0" quotePrefix="0" xfId="0"/>
    <xf numFmtId="164" fontId="0" fillId="0" borderId="1" pivotButton="0" quotePrefix="0" xfId="0"/>
    <xf numFmtId="0" fontId="2" fillId="7" borderId="1" pivotButton="0" quotePrefix="0" xfId="0"/>
    <xf numFmtId="0" fontId="7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9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ont>
        <name val="IBM Plex Sans Thai"/>
        <b val="1"/>
        <color rgb="000E7C4A"/>
        <sz val="11"/>
      </font>
      <fill>
        <patternFill patternType="solid">
          <fgColor rgb="00E9F7EF"/>
        </patternFill>
      </fill>
    </dxf>
    <dxf>
      <font>
        <name val="IBM Plex Sans Thai"/>
        <b val="1"/>
        <color rgb="00B3261E"/>
        <sz val="11"/>
      </font>
      <fill>
        <patternFill patternType="solid">
          <fgColor rgb="00FDECEA"/>
        </patternFill>
      </fill>
    </dxf>
    <dxf>
      <fill>
        <patternFill patternType="solid">
          <fgColor rgb="00E9F7EF"/>
        </patternFill>
      </fill>
    </dxf>
    <dxf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B1" s="1" t="inlineStr">
        <is>
          <t>ไฟล์ 2 · ยอดตั้งต้นงบดุล แยกตามผู้ถือ</t>
        </is>
      </c>
    </row>
    <row r="2">
      <c r="B2" s="2" t="inlineStr">
        <is>
          <t>กรอกยอดคงเหลือของทุกบัญชี ณ วันตัดยอด ทีละผู้ถือ — ระบบจะใช้เป็นจุดเริ่มของทุกรายงาน</t>
        </is>
      </c>
    </row>
    <row r="4">
      <c r="B4" s="3" t="inlineStr">
        <is>
          <t>วันตัดยอด</t>
        </is>
      </c>
    </row>
    <row r="5" ht="30" customHeight="1">
      <c r="A5" s="4" t="inlineStr"/>
      <c r="B5" s="5" t="inlineStr">
        <is>
          <t>ใช้ 30/09/2026 ทุกชีท</t>
        </is>
      </c>
      <c r="C5" s="6" t="inlineStr">
        <is>
          <t>ถ้าสรุปไม่ทันจริงๆ เลื่อนเป็น 31/10/2026 ได้ แต่ต้องเลื่อนทั้งไฟล์พร้อมกัน ห้ามชีทละวัน</t>
        </is>
      </c>
    </row>
    <row r="6">
      <c r="B6" s="3" t="inlineStr"/>
    </row>
    <row r="7">
      <c r="B7" s="3" t="inlineStr">
        <is>
          <t>กรอกอย่างไร</t>
        </is>
      </c>
    </row>
    <row r="8" ht="30" customHeight="1">
      <c r="A8" s="4" t="inlineStr"/>
      <c r="B8" s="5" t="inlineStr">
        <is>
          <t>หนึ่งชีทต่อหนึ่งผู้ถือ</t>
        </is>
      </c>
      <c r="C8" s="6" t="inlineStr">
        <is>
          <t>6 ชีท: SRI Corporation · สุธี · ธนากร · ธนวินท์ · เบ็ญจพร · สุดจิตต์</t>
        </is>
      </c>
    </row>
    <row r="9" ht="30" customHeight="1">
      <c r="A9" s="4" t="inlineStr"/>
      <c r="B9" s="5" t="inlineStr">
        <is>
          <t>กรอกช่อง 'ยอดตั้งต้น' ช่องเดียว</t>
        </is>
      </c>
      <c r="C9" s="6" t="inlineStr">
        <is>
          <t>ใส่จำนวนบวก ไม่ต้องคิดว่าเป็นเดบิตหรือเครดิต ระบบรู้จากประเภทบัญชี · ข้อยกเว้นเดียวคือ 3300 กำไรสะสม ที่ติดลบได้ถ้าขาดทุนสะสม — ใส่ติดลบได้เลย</t>
        </is>
      </c>
    </row>
    <row r="10" ht="30" customHeight="1">
      <c r="A10" s="4" t="inlineStr"/>
      <c r="B10" s="5" t="inlineStr">
        <is>
          <t>บัญชีที่ไม่มียอด เว้นว่างไว้</t>
        </is>
      </c>
      <c r="C10" s="6" t="inlineStr">
        <is>
          <t>ไม่ต้องใส่ 0</t>
        </is>
      </c>
    </row>
    <row r="11" ht="30" customHeight="1">
      <c r="A11" s="4" t="inlineStr"/>
      <c r="B11" s="5" t="inlineStr">
        <is>
          <t>ชีท 'รวมทุกผู้ถือ'</t>
        </is>
      </c>
      <c r="C11" s="6" t="inlineStr">
        <is>
          <t>คำนวณให้อัตโนมัติ ไม่ต้องกรอก ใช้ตรวจว่ายอดรวมกองกลางตรงกับที่ลูกพี่รู้</t>
        </is>
      </c>
    </row>
    <row r="12">
      <c r="B12" s="3" t="inlineStr"/>
    </row>
    <row r="13">
      <c r="B13" s="3" t="inlineStr">
        <is>
          <t>สามข้อที่ต้องเข้าใจก่อนกรอก</t>
        </is>
      </c>
    </row>
    <row r="14" ht="30" customHeight="1">
      <c r="A14" s="7" t="inlineStr">
        <is>
          <t>!</t>
        </is>
      </c>
      <c r="B14" s="8" t="inlineStr">
        <is>
          <t>ใส่ราคาทุน ไม่ใช่ราคาประเมิน</t>
        </is>
      </c>
      <c r="C14" s="9" t="inlineStr">
        <is>
          <t>งบดุลตั้งต้นลงตามราคาทุน/ตามบัญชี · ราคาประเมินกับราคาตลาดใส่ในชีท 'ทรัพย์สิน' ของไฟล์เทมเพลตข้อมูลตั้งต้น (คอลัมน์ 'มูลค่าปัจจุบัน') ถ้าเอาราคาประเมินมาใส่ที่นี่ งบจะไม่ลงตัว เพราะยังไม่มีบัญชีส่วนเกินทุนจากการตีราคา</t>
        </is>
      </c>
    </row>
    <row r="15" ht="30" customHeight="1">
      <c r="A15" s="7" t="inlineStr">
        <is>
          <t>!</t>
        </is>
      </c>
      <c r="B15" s="8" t="inlineStr">
        <is>
          <t>เงินสดต้องแยกทีละบัญชีธนาคาร</t>
        </is>
      </c>
      <c r="C15" s="9" t="inlineStr">
        <is>
          <t>แต่ละชีทมีตารางย่อยให้กรอกยอดแต่ละบัญชี แล้วบรรทัด 1100 จะรวมให้เอง ระบบบังคับว่าทุกบรรทัดเงินสดต้องผูกบัญชีจริง (Money Invariant 2)</t>
        </is>
      </c>
    </row>
    <row r="16" ht="30" customHeight="1">
      <c r="A16" s="7" t="inlineStr">
        <is>
          <t>!</t>
        </is>
      </c>
      <c r="B16" s="8" t="inlineStr">
        <is>
          <t>แต่ละชีทต้องลงตัวในตัวเอง</t>
        </is>
      </c>
      <c r="C16" s="9" t="inlineStr">
        <is>
          <t>สินทรัพย์ − หนี้สิน − ส่วนของเจ้าของ = 0 · ช่องตรวจล่างสุดจะเป็นสีเขียวเมื่อลงตัว ถ้ายังไม่ตรง ใส่ผลต่างที่บรรทัด 'ผลต่างรอกระทบยอด' อย่าไปดัดตัวเลขอื่นให้ตรง</t>
        </is>
      </c>
    </row>
    <row r="17">
      <c r="B17" s="3" t="inlineStr"/>
    </row>
    <row r="18">
      <c r="B18" s="3" t="inlineStr">
        <is>
          <t>ทำไมไม่มีบรรทัด 'เงินถอนของเจ้าของ'</t>
        </is>
      </c>
    </row>
    <row r="19" ht="30" customHeight="1">
      <c r="A19" s="4" t="inlineStr"/>
      <c r="B19" s="5" t="inlineStr">
        <is>
          <t>เงินถอนสะสมถูกหักอยู่ในกำไรสะสมแล้ว</t>
        </is>
      </c>
      <c r="C19" s="6" t="inlineStr">
        <is>
          <t>3200 เงินถอนของเจ้าของ เป็นยอดที่เกิดระหว่างงวด ไม่ใช่ยอดคงเหลือ ณ วันตั้งต้น · ถ้าใส่เป็นอีกบรรทัดจะถูกนับสองรอบ ส่วนของเจ้าของจะบวมเท่าที่ถอนออกไป · การถอนหลังวันตัดยอดบันทึกเป็นรายการปกติในระบบ</t>
        </is>
      </c>
    </row>
    <row r="20">
      <c r="B20" s="3" t="inlineStr"/>
    </row>
    <row r="21">
      <c r="B21" s="3" t="inlineStr">
        <is>
          <t>ผลต่างรอกระทบยอด</t>
        </is>
      </c>
    </row>
    <row r="22" ht="30" customHeight="1">
      <c r="A22" s="4" t="inlineStr"/>
      <c r="B22" s="5" t="inlineStr">
        <is>
          <t>ใส่ที่บรรทัด 3300 กำไรสะสม ชั่วคราว</t>
        </is>
      </c>
      <c r="C22" s="6" t="inlineStr">
        <is>
          <t>แล้วเขียนไว้ในช่องหมายเหตุว่าเป็นผลต่างเท่าไร · พอสรุปของจริงได้แล้วค่อยแยกว่า ส่วนไหนเป็นทุน (3100) ส่วนไหนเป็นเงินกู้กรรมการ (2300) แล้ว import ทับได้เลย</t>
        </is>
      </c>
    </row>
    <row r="23">
      <c r="B23" s="3" t="inlineStr"/>
    </row>
    <row r="24">
      <c r="B24" s="3" t="inlineStr">
        <is>
          <t>หุ้น/กองทุน ใช้ FIFO</t>
        </is>
      </c>
    </row>
    <row r="25" ht="30" customHeight="1">
      <c r="A25" s="4" t="inlineStr"/>
      <c r="B25" s="5" t="inlineStr">
        <is>
          <t>ชีท 'พอร์ตลงทุน (รายล็อต)'</t>
        </is>
      </c>
      <c r="C25" s="6" t="inlineStr">
        <is>
          <t>FIFO ต้องรู้ว่าซื้อล็อตไหนก่อน จึงต้องกรอก **ทีละล็อต** (วันที่ซื้อ + จำนวน + ราคาต่อหน่วย) ไม่ใช่ต้นทุนเฉลี่ย · ยอดรวมของชีทนี้ต้องเท่ากับบรรทัด 1700 ในชีทของผู้ถือคนนั้น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SRI Corporation</t>
        </is>
      </c>
    </row>
    <row r="2" ht="34" customHeight="1">
      <c r="A2" s="11" t="inlineStr">
        <is>
          <t>ณ วันที่ 30/09/2026 · ราคาทุน/ตามบัญชี · ผู้ถือนิติบุคคล: ทุกรายการต้องมีหลักฐาน</t>
        </is>
      </c>
    </row>
    <row r="3"/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>
        <v>2000000</v>
      </c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1600</t>
        </is>
      </c>
      <c r="B9" s="16" t="inlineStr">
        <is>
          <t>เงินมัดจำจ่าย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1300</t>
        </is>
      </c>
      <c r="B10" s="16" t="inlineStr">
        <is>
          <t>เงินให้กู้ยืม - เงินต้น</t>
        </is>
      </c>
      <c r="C10" s="16" t="inlineStr">
        <is>
          <t>สินทรัพย์</t>
        </is>
      </c>
      <c r="D10" s="16" t="inlineStr">
        <is>
          <t>เงินให้กู้และลงทุนตามสัญญา</t>
        </is>
      </c>
      <c r="E10" s="17" t="n"/>
      <c r="F10" s="18" t="n"/>
    </row>
    <row r="11">
      <c r="A11" s="16" t="inlineStr">
        <is>
          <t>1400</t>
        </is>
      </c>
      <c r="B11" s="16" t="inlineStr">
        <is>
          <t>เงินลงทุนขายฝาก - เงินต้น</t>
        </is>
      </c>
      <c r="C11" s="16" t="inlineStr">
        <is>
          <t>สินทรัพย์</t>
        </is>
      </c>
      <c r="D11" s="16" t="inlineStr">
        <is>
          <t>เงินให้กู้และลงทุนตามสัญญา</t>
        </is>
      </c>
      <c r="E11" s="17" t="n">
        <v>1000000</v>
      </c>
      <c r="F11" s="18" t="n"/>
    </row>
    <row r="12">
      <c r="A12" s="16" t="inlineStr">
        <is>
          <t>1410</t>
        </is>
      </c>
      <c r="B12" s="16" t="inlineStr">
        <is>
          <t>เงินลงทุนจำนอง - เงินต้น</t>
        </is>
      </c>
      <c r="C12" s="16" t="inlineStr">
        <is>
          <t>สินทรัพย์</t>
        </is>
      </c>
      <c r="D12" s="16" t="inlineStr">
        <is>
          <t>เงินให้กู้และลงทุนตามสัญญา</t>
        </is>
      </c>
      <c r="E12" s="17" t="n"/>
      <c r="F12" s="18" t="n"/>
    </row>
    <row r="13">
      <c r="A13" s="16" t="inlineStr">
        <is>
          <t>1500</t>
        </is>
      </c>
      <c r="B13" s="16" t="inlineStr">
        <is>
          <t>อสังหาริมทรัพย์เพื่อการลงทุน</t>
        </is>
      </c>
      <c r="C13" s="16" t="inlineStr">
        <is>
          <t>สินทรัพย์</t>
        </is>
      </c>
      <c r="D13" s="16" t="inlineStr">
        <is>
          <t>อสังหาริมทรัพย์เพื่อการลงทุน</t>
        </is>
      </c>
      <c r="E13" s="17" t="n">
        <v>5000000</v>
      </c>
      <c r="F13" s="18" t="n"/>
    </row>
    <row r="14">
      <c r="A14" s="16" t="inlineStr">
        <is>
          <t>1510</t>
        </is>
      </c>
      <c r="B14" s="16" t="inlineStr">
        <is>
          <t>ค่ารีโนเวท (บันทึกเป็นทุน)</t>
        </is>
      </c>
      <c r="C14" s="16" t="inlineStr">
        <is>
          <t>สินทรัพย์</t>
        </is>
      </c>
      <c r="D14" s="16" t="inlineStr">
        <is>
          <t>อสังหาริมทรัพย์เพื่อการลงทุน</t>
        </is>
      </c>
      <c r="E14" s="17" t="n"/>
      <c r="F14" s="18" t="n"/>
    </row>
    <row r="15">
      <c r="A15" s="16" t="inlineStr">
        <is>
          <t>1700</t>
        </is>
      </c>
      <c r="B15" s="16" t="inlineStr">
        <is>
          <t>เงินลงทุนในหลักทรัพย์</t>
        </is>
      </c>
      <c r="C15" s="16" t="inlineStr">
        <is>
          <t>สินทรัพย์</t>
        </is>
      </c>
      <c r="D15" s="16" t="inlineStr">
        <is>
          <t>เงินลงทุน</t>
        </is>
      </c>
      <c r="E15" s="17" t="n"/>
      <c r="F15" s="18" t="n"/>
    </row>
    <row r="16">
      <c r="A16" s="16" t="inlineStr">
        <is>
          <t>1720</t>
        </is>
      </c>
      <c r="B16" s="16" t="inlineStr">
        <is>
          <t>เงินลงทุนในทองคำและสินทรัพย์ทางเลือก</t>
        </is>
      </c>
      <c r="C16" s="16" t="inlineStr">
        <is>
          <t>สินทรัพย์</t>
        </is>
      </c>
      <c r="D16" s="16" t="inlineStr">
        <is>
          <t>เงินลงทุน</t>
        </is>
      </c>
      <c r="E16" s="17" t="n"/>
      <c r="F16" s="18" t="n"/>
    </row>
    <row r="17">
      <c r="A17" s="16" t="inlineStr">
        <is>
          <t>1710</t>
        </is>
      </c>
      <c r="B17" s="16" t="inlineStr">
        <is>
          <t>เงินลงทุนในบริษัทในเครือ</t>
        </is>
      </c>
      <c r="C17" s="16" t="inlineStr">
        <is>
          <t>สินทรัพย์</t>
        </is>
      </c>
      <c r="D17" s="16" t="inlineStr">
        <is>
          <t>เงินลงทุน</t>
        </is>
      </c>
      <c r="E17" s="17" t="n"/>
      <c r="F17" s="18" t="n"/>
    </row>
    <row r="18">
      <c r="A18" s="16" t="inlineStr">
        <is>
          <t>1310</t>
        </is>
      </c>
      <c r="B18" s="16" t="inlineStr">
        <is>
          <t>ลูกหนี้ระหว่างกัน (ในกองกลาง)</t>
        </is>
      </c>
      <c r="C18" s="16" t="inlineStr">
        <is>
          <t>สินทรัพย์</t>
        </is>
      </c>
      <c r="D18" s="16" t="inlineStr">
        <is>
          <t>รายการระหว่างกัน (ตัดออกในงบรวม)</t>
        </is>
      </c>
      <c r="E18" s="17" t="n"/>
      <c r="F18" s="18" t="n"/>
    </row>
    <row r="19">
      <c r="A19" s="16" t="inlineStr">
        <is>
          <t>2100</t>
        </is>
      </c>
      <c r="B19" s="16" t="inlineStr">
        <is>
          <t>เจ้าหนี้การค้า-เจ้าหนี้อื่น</t>
        </is>
      </c>
      <c r="C19" s="16" t="inlineStr">
        <is>
          <t>หนี้สิน</t>
        </is>
      </c>
      <c r="D19" s="16" t="inlineStr">
        <is>
          <t>หนี้สินหมุนเวียน</t>
        </is>
      </c>
      <c r="E19" s="17" t="n"/>
      <c r="F19" s="18" t="n"/>
    </row>
    <row r="20">
      <c r="A20" s="16" t="inlineStr">
        <is>
          <t>2200</t>
        </is>
      </c>
      <c r="B20" s="16" t="inlineStr">
        <is>
          <t>เงินมัดจำรับจากผู้เช่า</t>
        </is>
      </c>
      <c r="C20" s="16" t="inlineStr">
        <is>
          <t>หนี้สิน</t>
        </is>
      </c>
      <c r="D20" s="16" t="inlineStr">
        <is>
          <t>หนี้สินหมุนเวียน</t>
        </is>
      </c>
      <c r="E20" s="17" t="n"/>
      <c r="F20" s="18" t="n"/>
    </row>
    <row r="21">
      <c r="A21" s="16" t="inlineStr">
        <is>
          <t>2410</t>
        </is>
      </c>
      <c r="B21" s="16" t="inlineStr">
        <is>
          <t>เงินกู้ธนาคาร</t>
        </is>
      </c>
      <c r="C21" s="16" t="inlineStr">
        <is>
          <t>หนี้สิน</t>
        </is>
      </c>
      <c r="D21" s="16" t="inlineStr">
        <is>
          <t>เงินกู้</t>
        </is>
      </c>
      <c r="E21" s="17" t="n">
        <v>3000000</v>
      </c>
      <c r="F21" s="18" t="n"/>
    </row>
    <row r="22">
      <c r="A22" s="16" t="inlineStr">
        <is>
          <t>2300</t>
        </is>
      </c>
      <c r="B22" s="16" t="inlineStr">
        <is>
          <t>เงินกู้ยืมกรรมการ</t>
        </is>
      </c>
      <c r="C22" s="16" t="inlineStr">
        <is>
          <t>หนี้สิน</t>
        </is>
      </c>
      <c r="D22" s="16" t="inlineStr">
        <is>
          <t>เงินกู้</t>
        </is>
      </c>
      <c r="E22" s="17" t="n"/>
      <c r="F22" s="18" t="n"/>
    </row>
    <row r="23">
      <c r="A23" s="16" t="inlineStr">
        <is>
          <t>2400</t>
        </is>
      </c>
      <c r="B23" s="16" t="inlineStr">
        <is>
          <t>เงินกู้ยืมอื่น</t>
        </is>
      </c>
      <c r="C23" s="16" t="inlineStr">
        <is>
          <t>หนี้สิน</t>
        </is>
      </c>
      <c r="D23" s="16" t="inlineStr">
        <is>
          <t>เงินกู้</t>
        </is>
      </c>
      <c r="E23" s="17" t="n"/>
      <c r="F23" s="18" t="n"/>
    </row>
    <row r="24">
      <c r="A24" s="16" t="inlineStr">
        <is>
          <t>2310</t>
        </is>
      </c>
      <c r="B24" s="16" t="inlineStr">
        <is>
          <t>เจ้าหนี้ระหว่างกัน (ในกองกลาง)</t>
        </is>
      </c>
      <c r="C24" s="16" t="inlineStr">
        <is>
          <t>หนี้สิน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3100</t>
        </is>
      </c>
      <c r="B25" s="16" t="inlineStr">
        <is>
          <t>ทุนตั้งต้น</t>
        </is>
      </c>
      <c r="C25" s="16" t="inlineStr">
        <is>
          <t>ส่วนของเจ้าของ</t>
        </is>
      </c>
      <c r="D25" s="16" t="inlineStr">
        <is>
          <t>ส่วนของเจ้าของ</t>
        </is>
      </c>
      <c r="E25" s="17" t="n">
        <v>4000000</v>
      </c>
      <c r="F25" s="18" t="n"/>
    </row>
    <row r="26">
      <c r="A26" s="16" t="inlineStr">
        <is>
          <t>3300</t>
        </is>
      </c>
      <c r="B26" s="16" t="inlineStr">
        <is>
          <t>กำไรสะสม</t>
        </is>
      </c>
      <c r="C26" s="16" t="inlineStr">
        <is>
          <t>ส่วนของเจ้าของ</t>
        </is>
      </c>
      <c r="D26" s="16" t="inlineStr">
        <is>
          <t>ส่วนของเจ้าของ</t>
        </is>
      </c>
      <c r="E26" s="17" t="n">
        <v>1000000</v>
      </c>
      <c r="F26" s="18" t="n"/>
    </row>
    <row r="27"/>
    <row r="28">
      <c r="A28" s="19" t="n"/>
      <c r="B28" s="20" t="inlineStr">
        <is>
          <t>รวมสินทรัพย์</t>
        </is>
      </c>
      <c r="C28" s="19" t="n"/>
      <c r="D28" s="19" t="n"/>
      <c r="E28" s="21">
        <f>SUM(E6,E7,E8,E9,E10,E11,E12,E13,E14,E15,E16,E17,E18)</f>
        <v/>
      </c>
      <c r="F28" s="19" t="n"/>
    </row>
    <row r="29">
      <c r="A29" s="19" t="n"/>
      <c r="B29" s="20" t="inlineStr">
        <is>
          <t>รวมหนี้สิน</t>
        </is>
      </c>
      <c r="C29" s="19" t="n"/>
      <c r="D29" s="19" t="n"/>
      <c r="E29" s="21">
        <f>SUM(E19,E20,E21,E22,E23,E24)</f>
        <v/>
      </c>
      <c r="F29" s="19" t="n"/>
    </row>
    <row r="30">
      <c r="A30" s="19" t="n"/>
      <c r="B30" s="20" t="inlineStr">
        <is>
          <t>รวมส่วนของเจ้าของ</t>
        </is>
      </c>
      <c r="C30" s="19" t="n"/>
      <c r="D30" s="19" t="n"/>
      <c r="E30" s="21">
        <f>SUM(E25,E26)</f>
        <v/>
      </c>
      <c r="F30" s="19" t="n"/>
    </row>
    <row r="31"/>
    <row r="32">
      <c r="A32" s="22" t="n"/>
      <c r="B32" s="23" t="inlineStr">
        <is>
          <t>ตรวจ: สินทรัพย์ − หนี้สิน − ส่วนของเจ้าของ</t>
        </is>
      </c>
      <c r="C32" s="22" t="n"/>
      <c r="D32" s="22" t="n"/>
      <c r="E32" s="24">
        <f>E28-E29-E30</f>
        <v/>
      </c>
      <c r="F3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33"/>
    <row r="34"/>
    <row r="35">
      <c r="B35" s="3" t="inlineStr">
        <is>
          <t>แยกยอดเงินสดตามบัญชี (ต้องรวมได้เท่าบรรทัด 1100)</t>
        </is>
      </c>
    </row>
    <row r="36">
      <c r="B3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37">
      <c r="B37" s="26" t="inlineStr">
        <is>
          <t>บัญชี</t>
        </is>
      </c>
      <c r="C37" s="26" t="inlineStr">
        <is>
          <t>ธนาคาร / ช่องทาง</t>
        </is>
      </c>
      <c r="D37" s="26" t="inlineStr">
        <is>
          <t>เลขท้าย</t>
        </is>
      </c>
      <c r="E37" s="27" t="inlineStr">
        <is>
          <t>ยอดตั้งต้น</t>
        </is>
      </c>
    </row>
    <row r="38">
      <c r="B38" s="28" t="inlineStr">
        <is>
          <t>SRI - SCB</t>
        </is>
      </c>
      <c r="C38" s="28" t="inlineStr">
        <is>
          <t>ไทยพาณิชย์</t>
        </is>
      </c>
      <c r="D38" s="28" t="inlineStr">
        <is>
          <t>4412</t>
        </is>
      </c>
      <c r="E38" s="17" t="n">
        <v>2000000</v>
      </c>
    </row>
    <row r="39">
      <c r="B39" s="28" t="n"/>
      <c r="C39" s="28" t="n"/>
      <c r="D39" s="28" t="n"/>
      <c r="E39" s="17" t="n"/>
    </row>
    <row r="40">
      <c r="B40" s="18" t="n"/>
      <c r="C40" s="22" t="n"/>
      <c r="D40" s="22" t="n"/>
      <c r="E40" s="29" t="n"/>
      <c r="F40" s="2" t="inlineStr">
        <is>
          <t>← บัญชีใหม่ที่ยังไม่มีในระบบ กรอกชื่อ+ธนาคาร+ยอด</t>
        </is>
      </c>
    </row>
    <row r="41">
      <c r="B41" s="18" t="n"/>
      <c r="C41" s="22" t="n"/>
      <c r="D41" s="22" t="n"/>
      <c r="E41" s="29" t="n"/>
      <c r="F41" s="2" t="inlineStr">
        <is>
          <t>← บัญชีใหม่ที่ยังไม่มีในระบบ กรอกชื่อ+ธนาคาร+ยอด</t>
        </is>
      </c>
    </row>
    <row r="42">
      <c r="B42" s="18" t="n"/>
      <c r="C42" s="22" t="n"/>
      <c r="D42" s="22" t="n"/>
      <c r="E42" s="29" t="n"/>
      <c r="F42" s="2" t="inlineStr">
        <is>
          <t>← บัญชีใหม่ที่ยังไม่มีในระบบ กรอกชื่อ+ธนาคาร+ยอด</t>
        </is>
      </c>
    </row>
    <row r="43">
      <c r="B43" s="18" t="n"/>
      <c r="C43" s="22" t="n"/>
      <c r="D43" s="22" t="n"/>
      <c r="E43" s="29" t="n"/>
      <c r="F43" s="2" t="inlineStr">
        <is>
          <t>← บัญชีใหม่ที่ยังไม่มีในระบบ กรอกชื่อ+ธนาคาร+ยอด</t>
        </is>
      </c>
    </row>
    <row r="44">
      <c r="B44" s="18" t="n"/>
      <c r="C44" s="22" t="n"/>
      <c r="D44" s="22" t="n"/>
      <c r="E44" s="29" t="n"/>
      <c r="F44" s="2" t="inlineStr">
        <is>
          <t>← บัญชีใหม่ที่ยังไม่มีในระบบ กรอกชื่อ+ธนาคาร+ยอด</t>
        </is>
      </c>
    </row>
    <row r="45">
      <c r="B45" s="18" t="n"/>
      <c r="C45" s="22" t="n"/>
      <c r="D45" s="22" t="n"/>
      <c r="E45" s="29" t="n"/>
      <c r="F45" s="2" t="inlineStr">
        <is>
          <t>← บัญชีใหม่ที่ยังไม่มีในระบบ กรอกชื่อ+ธนาคาร+ยอด</t>
        </is>
      </c>
    </row>
    <row r="46">
      <c r="B46" s="20" t="inlineStr">
        <is>
          <t>รวมเงินสด</t>
        </is>
      </c>
      <c r="C46" s="19" t="n"/>
      <c r="D46" s="19" t="n"/>
      <c r="E46" s="21">
        <f>SUM(E38:E45)</f>
        <v/>
      </c>
      <c r="F46" s="30" t="inlineStr">
        <is>
          <t>ต้องเท่ากับบรรทัด 1100 (แถว 6)</t>
        </is>
      </c>
    </row>
    <row r="47">
      <c r="B47" s="23" t="inlineStr">
        <is>
          <t>ตรวจ: ผลต่างกับบรรทัด 1100</t>
        </is>
      </c>
      <c r="C47" s="22" t="n"/>
      <c r="D47" s="22" t="n"/>
      <c r="E47" s="24">
        <f>E46-E6</f>
        <v/>
      </c>
    </row>
  </sheetData>
  <mergeCells count="2">
    <mergeCell ref="A2:F2"/>
    <mergeCell ref="A1:F1"/>
  </mergeCells>
  <conditionalFormatting sqref="E3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47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สุธี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3"/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>
        <v>300000</v>
      </c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1600</t>
        </is>
      </c>
      <c r="B9" s="16" t="inlineStr">
        <is>
          <t>เงินมัดจำจ่าย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1300</t>
        </is>
      </c>
      <c r="B10" s="16" t="inlineStr">
        <is>
          <t>เงินให้กู้ยืม - เงินต้น</t>
        </is>
      </c>
      <c r="C10" s="16" t="inlineStr">
        <is>
          <t>สินทรัพย์</t>
        </is>
      </c>
      <c r="D10" s="16" t="inlineStr">
        <is>
          <t>เงินให้กู้และลงทุนตามสัญญา</t>
        </is>
      </c>
      <c r="E10" s="17" t="n"/>
      <c r="F10" s="18" t="n"/>
    </row>
    <row r="11">
      <c r="A11" s="16" t="inlineStr">
        <is>
          <t>1400</t>
        </is>
      </c>
      <c r="B11" s="16" t="inlineStr">
        <is>
          <t>เงินลงทุนขายฝาก - เงินต้น</t>
        </is>
      </c>
      <c r="C11" s="16" t="inlineStr">
        <is>
          <t>สินทรัพย์</t>
        </is>
      </c>
      <c r="D11" s="16" t="inlineStr">
        <is>
          <t>เงินให้กู้และลงทุนตามสัญญา</t>
        </is>
      </c>
      <c r="E11" s="17" t="n"/>
      <c r="F11" s="18" t="n"/>
    </row>
    <row r="12">
      <c r="A12" s="16" t="inlineStr">
        <is>
          <t>1410</t>
        </is>
      </c>
      <c r="B12" s="16" t="inlineStr">
        <is>
          <t>เงินลงทุนจำนอง - เงินต้น</t>
        </is>
      </c>
      <c r="C12" s="16" t="inlineStr">
        <is>
          <t>สินทรัพย์</t>
        </is>
      </c>
      <c r="D12" s="16" t="inlineStr">
        <is>
          <t>เงินให้กู้และลงทุนตามสัญญา</t>
        </is>
      </c>
      <c r="E12" s="17" t="n"/>
      <c r="F12" s="18" t="n"/>
    </row>
    <row r="13">
      <c r="A13" s="16" t="inlineStr">
        <is>
          <t>1500</t>
        </is>
      </c>
      <c r="B13" s="16" t="inlineStr">
        <is>
          <t>อสังหาริมทรัพย์เพื่อการลงทุน</t>
        </is>
      </c>
      <c r="C13" s="16" t="inlineStr">
        <is>
          <t>สินทรัพย์</t>
        </is>
      </c>
      <c r="D13" s="16" t="inlineStr">
        <is>
          <t>อสังหาริมทรัพย์เพื่อการลงทุน</t>
        </is>
      </c>
      <c r="E13" s="17" t="n"/>
      <c r="F13" s="18" t="n"/>
    </row>
    <row r="14">
      <c r="A14" s="16" t="inlineStr">
        <is>
          <t>1510</t>
        </is>
      </c>
      <c r="B14" s="16" t="inlineStr">
        <is>
          <t>ค่ารีโนเวท (บันทึกเป็นทุน)</t>
        </is>
      </c>
      <c r="C14" s="16" t="inlineStr">
        <is>
          <t>สินทรัพย์</t>
        </is>
      </c>
      <c r="D14" s="16" t="inlineStr">
        <is>
          <t>อสังหาริมทรัพย์เพื่อการลงทุน</t>
        </is>
      </c>
      <c r="E14" s="17" t="n"/>
      <c r="F14" s="18" t="n"/>
    </row>
    <row r="15">
      <c r="A15" s="16" t="inlineStr">
        <is>
          <t>1700</t>
        </is>
      </c>
      <c r="B15" s="16" t="inlineStr">
        <is>
          <t>เงินลงทุนในหลักทรัพย์</t>
        </is>
      </c>
      <c r="C15" s="16" t="inlineStr">
        <is>
          <t>สินทรัพย์</t>
        </is>
      </c>
      <c r="D15" s="16" t="inlineStr">
        <is>
          <t>เงินลงทุน</t>
        </is>
      </c>
      <c r="E15" s="17" t="n"/>
      <c r="F15" s="18" t="n"/>
    </row>
    <row r="16">
      <c r="A16" s="16" t="inlineStr">
        <is>
          <t>1720</t>
        </is>
      </c>
      <c r="B16" s="16" t="inlineStr">
        <is>
          <t>เงินลงทุนในทองคำและสินทรัพย์ทางเลือก</t>
        </is>
      </c>
      <c r="C16" s="16" t="inlineStr">
        <is>
          <t>สินทรัพย์</t>
        </is>
      </c>
      <c r="D16" s="16" t="inlineStr">
        <is>
          <t>เงินลงทุน</t>
        </is>
      </c>
      <c r="E16" s="17" t="n"/>
      <c r="F16" s="18" t="n"/>
    </row>
    <row r="17">
      <c r="A17" s="16" t="inlineStr">
        <is>
          <t>1710</t>
        </is>
      </c>
      <c r="B17" s="16" t="inlineStr">
        <is>
          <t>เงินลงทุนในบริษัทในเครือ</t>
        </is>
      </c>
      <c r="C17" s="16" t="inlineStr">
        <is>
          <t>สินทรัพย์</t>
        </is>
      </c>
      <c r="D17" s="16" t="inlineStr">
        <is>
          <t>เงินลงทุน</t>
        </is>
      </c>
      <c r="E17" s="17" t="n"/>
      <c r="F17" s="18" t="n"/>
    </row>
    <row r="18">
      <c r="A18" s="16" t="inlineStr">
        <is>
          <t>1310</t>
        </is>
      </c>
      <c r="B18" s="16" t="inlineStr">
        <is>
          <t>ลูกหนี้ระหว่างกัน (ในกองกลาง)</t>
        </is>
      </c>
      <c r="C18" s="16" t="inlineStr">
        <is>
          <t>สินทรัพย์</t>
        </is>
      </c>
      <c r="D18" s="16" t="inlineStr">
        <is>
          <t>รายการระหว่างกัน (ตัดออกในงบรวม)</t>
        </is>
      </c>
      <c r="E18" s="17" t="n"/>
      <c r="F18" s="18" t="n"/>
    </row>
    <row r="19">
      <c r="A19" s="16" t="inlineStr">
        <is>
          <t>2100</t>
        </is>
      </c>
      <c r="B19" s="16" t="inlineStr">
        <is>
          <t>เจ้าหนี้การค้า-เจ้าหนี้อื่น</t>
        </is>
      </c>
      <c r="C19" s="16" t="inlineStr">
        <is>
          <t>หนี้สิน</t>
        </is>
      </c>
      <c r="D19" s="16" t="inlineStr">
        <is>
          <t>หนี้สินหมุนเวียน</t>
        </is>
      </c>
      <c r="E19" s="17" t="n"/>
      <c r="F19" s="18" t="n"/>
    </row>
    <row r="20">
      <c r="A20" s="16" t="inlineStr">
        <is>
          <t>2200</t>
        </is>
      </c>
      <c r="B20" s="16" t="inlineStr">
        <is>
          <t>เงินมัดจำรับจากผู้เช่า</t>
        </is>
      </c>
      <c r="C20" s="16" t="inlineStr">
        <is>
          <t>หนี้สิน</t>
        </is>
      </c>
      <c r="D20" s="16" t="inlineStr">
        <is>
          <t>หนี้สินหมุนเวียน</t>
        </is>
      </c>
      <c r="E20" s="17" t="n"/>
      <c r="F20" s="18" t="n"/>
    </row>
    <row r="21">
      <c r="A21" s="16" t="inlineStr">
        <is>
          <t>2410</t>
        </is>
      </c>
      <c r="B21" s="16" t="inlineStr">
        <is>
          <t>เงินกู้ธนาคาร</t>
        </is>
      </c>
      <c r="C21" s="16" t="inlineStr">
        <is>
          <t>หนี้สิน</t>
        </is>
      </c>
      <c r="D21" s="16" t="inlineStr">
        <is>
          <t>เงินกู้</t>
        </is>
      </c>
      <c r="E21" s="17" t="n"/>
      <c r="F21" s="18" t="n"/>
    </row>
    <row r="22">
      <c r="A22" s="16" t="inlineStr">
        <is>
          <t>2300</t>
        </is>
      </c>
      <c r="B22" s="16" t="inlineStr">
        <is>
          <t>เงินกู้ยืมกรรมการ</t>
        </is>
      </c>
      <c r="C22" s="16" t="inlineStr">
        <is>
          <t>หนี้สิน</t>
        </is>
      </c>
      <c r="D22" s="16" t="inlineStr">
        <is>
          <t>เงินกู้</t>
        </is>
      </c>
      <c r="E22" s="17" t="n"/>
      <c r="F22" s="18" t="n"/>
    </row>
    <row r="23">
      <c r="A23" s="16" t="inlineStr">
        <is>
          <t>2400</t>
        </is>
      </c>
      <c r="B23" s="16" t="inlineStr">
        <is>
          <t>เงินกู้ยืมอื่น</t>
        </is>
      </c>
      <c r="C23" s="16" t="inlineStr">
        <is>
          <t>หนี้สิน</t>
        </is>
      </c>
      <c r="D23" s="16" t="inlineStr">
        <is>
          <t>เงินกู้</t>
        </is>
      </c>
      <c r="E23" s="17" t="n"/>
      <c r="F23" s="18" t="n"/>
    </row>
    <row r="24">
      <c r="A24" s="16" t="inlineStr">
        <is>
          <t>2310</t>
        </is>
      </c>
      <c r="B24" s="16" t="inlineStr">
        <is>
          <t>เจ้าหนี้ระหว่างกัน (ในกองกลาง)</t>
        </is>
      </c>
      <c r="C24" s="16" t="inlineStr">
        <is>
          <t>หนี้สิน</t>
        </is>
      </c>
      <c r="D24" s="16" t="inlineStr">
        <is>
          <t>รายการระหว่างกัน (ตัดออกในงบรวม)</t>
        </is>
      </c>
      <c r="E24" s="17" t="n">
        <v>100000</v>
      </c>
      <c r="F24" s="18" t="n"/>
    </row>
    <row r="25">
      <c r="A25" s="16" t="inlineStr">
        <is>
          <t>3100</t>
        </is>
      </c>
      <c r="B25" s="16" t="inlineStr">
        <is>
          <t>ทุนตั้งต้น</t>
        </is>
      </c>
      <c r="C25" s="16" t="inlineStr">
        <is>
          <t>ส่วนของเจ้าของ</t>
        </is>
      </c>
      <c r="D25" s="16" t="inlineStr">
        <is>
          <t>ส่วนของเจ้าของ</t>
        </is>
      </c>
      <c r="E25" s="17" t="n">
        <v>200000</v>
      </c>
      <c r="F25" s="18" t="n"/>
    </row>
    <row r="26">
      <c r="A26" s="16" t="inlineStr">
        <is>
          <t>3300</t>
        </is>
      </c>
      <c r="B26" s="16" t="inlineStr">
        <is>
          <t>กำไรสะสม</t>
        </is>
      </c>
      <c r="C26" s="16" t="inlineStr">
        <is>
          <t>ส่วนของเจ้าของ</t>
        </is>
      </c>
      <c r="D26" s="16" t="inlineStr">
        <is>
          <t>ส่วนของเจ้าของ</t>
        </is>
      </c>
      <c r="E26" s="17" t="n"/>
      <c r="F26" s="18" t="n"/>
    </row>
    <row r="27"/>
    <row r="28">
      <c r="A28" s="19" t="n"/>
      <c r="B28" s="20" t="inlineStr">
        <is>
          <t>รวมสินทรัพย์</t>
        </is>
      </c>
      <c r="C28" s="19" t="n"/>
      <c r="D28" s="19" t="n"/>
      <c r="E28" s="21">
        <f>SUM(E6,E7,E8,E9,E10,E11,E12,E13,E14,E15,E16,E17,E18)</f>
        <v/>
      </c>
      <c r="F28" s="19" t="n"/>
    </row>
    <row r="29">
      <c r="A29" s="19" t="n"/>
      <c r="B29" s="20" t="inlineStr">
        <is>
          <t>รวมหนี้สิน</t>
        </is>
      </c>
      <c r="C29" s="19" t="n"/>
      <c r="D29" s="19" t="n"/>
      <c r="E29" s="21">
        <f>SUM(E19,E20,E21,E22,E23,E24)</f>
        <v/>
      </c>
      <c r="F29" s="19" t="n"/>
    </row>
    <row r="30">
      <c r="A30" s="19" t="n"/>
      <c r="B30" s="20" t="inlineStr">
        <is>
          <t>รวมส่วนของเจ้าของ</t>
        </is>
      </c>
      <c r="C30" s="19" t="n"/>
      <c r="D30" s="19" t="n"/>
      <c r="E30" s="21">
        <f>SUM(E25,E26)</f>
        <v/>
      </c>
      <c r="F30" s="19" t="n"/>
    </row>
    <row r="31"/>
    <row r="32">
      <c r="A32" s="22" t="n"/>
      <c r="B32" s="23" t="inlineStr">
        <is>
          <t>ตรวจ: สินทรัพย์ − หนี้สิน − ส่วนของเจ้าของ</t>
        </is>
      </c>
      <c r="C32" s="22" t="n"/>
      <c r="D32" s="22" t="n"/>
      <c r="E32" s="24">
        <f>E28-E29-E30</f>
        <v/>
      </c>
      <c r="F3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33"/>
    <row r="34"/>
    <row r="35">
      <c r="B35" s="3" t="inlineStr">
        <is>
          <t>แยกยอดเงินสดตามบัญชี (ต้องรวมได้เท่าบรรทัด 1100)</t>
        </is>
      </c>
    </row>
    <row r="36">
      <c r="B3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37">
      <c r="B37" s="26" t="inlineStr">
        <is>
          <t>บัญชี</t>
        </is>
      </c>
      <c r="C37" s="26" t="inlineStr">
        <is>
          <t>ธนาคาร / ช่องทาง</t>
        </is>
      </c>
      <c r="D37" s="26" t="inlineStr">
        <is>
          <t>เลขท้าย</t>
        </is>
      </c>
      <c r="E37" s="27" t="inlineStr">
        <is>
          <t>ยอดตั้งต้น</t>
        </is>
      </c>
    </row>
    <row r="38">
      <c r="B38" s="28" t="inlineStr">
        <is>
          <t>สุธี - TTB</t>
        </is>
      </c>
      <c r="C38" s="28" t="inlineStr">
        <is>
          <t>ทหารไทยธนชาต</t>
        </is>
      </c>
      <c r="D38" s="28" t="inlineStr">
        <is>
          <t>1174</t>
        </is>
      </c>
      <c r="E38" s="17" t="n">
        <v>300000</v>
      </c>
    </row>
    <row r="39">
      <c r="B39" s="18" t="n"/>
      <c r="C39" s="22" t="n"/>
      <c r="D39" s="22" t="n"/>
      <c r="E39" s="29" t="n"/>
      <c r="F39" s="2" t="inlineStr">
        <is>
          <t>← บัญชีใหม่ที่ยังไม่มีในระบบ กรอกชื่อ+ธนาคาร+ยอด</t>
        </is>
      </c>
    </row>
    <row r="40">
      <c r="B40" s="18" t="n"/>
      <c r="C40" s="22" t="n"/>
      <c r="D40" s="22" t="n"/>
      <c r="E40" s="29" t="n"/>
      <c r="F40" s="2" t="inlineStr">
        <is>
          <t>← บัญชีใหม่ที่ยังไม่มีในระบบ กรอกชื่อ+ธนาคาร+ยอด</t>
        </is>
      </c>
    </row>
    <row r="41">
      <c r="B41" s="18" t="n"/>
      <c r="C41" s="22" t="n"/>
      <c r="D41" s="22" t="n"/>
      <c r="E41" s="29" t="n"/>
      <c r="F41" s="2" t="inlineStr">
        <is>
          <t>← บัญชีใหม่ที่ยังไม่มีในระบบ กรอกชื่อ+ธนาคาร+ยอด</t>
        </is>
      </c>
    </row>
    <row r="42">
      <c r="B42" s="18" t="n"/>
      <c r="C42" s="22" t="n"/>
      <c r="D42" s="22" t="n"/>
      <c r="E42" s="29" t="n"/>
      <c r="F42" s="2" t="inlineStr">
        <is>
          <t>← บัญชีใหม่ที่ยังไม่มีในระบบ กรอกชื่อ+ธนาคาร+ยอด</t>
        </is>
      </c>
    </row>
    <row r="43">
      <c r="B43" s="18" t="n"/>
      <c r="C43" s="22" t="n"/>
      <c r="D43" s="22" t="n"/>
      <c r="E43" s="29" t="n"/>
      <c r="F43" s="2" t="inlineStr">
        <is>
          <t>← บัญชีใหม่ที่ยังไม่มีในระบบ กรอกชื่อ+ธนาคาร+ยอด</t>
        </is>
      </c>
    </row>
    <row r="44">
      <c r="B44" s="18" t="n"/>
      <c r="C44" s="22" t="n"/>
      <c r="D44" s="22" t="n"/>
      <c r="E44" s="29" t="n"/>
      <c r="F44" s="2" t="inlineStr">
        <is>
          <t>← บัญชีใหม่ที่ยังไม่มีในระบบ กรอกชื่อ+ธนาคาร+ยอด</t>
        </is>
      </c>
    </row>
    <row r="45">
      <c r="B45" s="20" t="inlineStr">
        <is>
          <t>รวมเงินสด</t>
        </is>
      </c>
      <c r="C45" s="19" t="n"/>
      <c r="D45" s="19" t="n"/>
      <c r="E45" s="21">
        <f>SUM(E38:E44)</f>
        <v/>
      </c>
      <c r="F45" s="30" t="inlineStr">
        <is>
          <t>ต้องเท่ากับบรรทัด 1100 (แถว 6)</t>
        </is>
      </c>
    </row>
    <row r="46">
      <c r="B46" s="23" t="inlineStr">
        <is>
          <t>ตรวจ: ผลต่างกับบรรทัด 1100</t>
        </is>
      </c>
      <c r="C46" s="22" t="n"/>
      <c r="D46" s="22" t="n"/>
      <c r="E46" s="24">
        <f>E45-E6</f>
        <v/>
      </c>
    </row>
  </sheetData>
  <mergeCells count="2">
    <mergeCell ref="A2:F2"/>
    <mergeCell ref="A1:F1"/>
  </mergeCells>
  <conditionalFormatting sqref="E3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46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ธนากร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3"/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>
        <v>1000000</v>
      </c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>
        <v>20000</v>
      </c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1600</t>
        </is>
      </c>
      <c r="B9" s="16" t="inlineStr">
        <is>
          <t>เงินมัดจำจ่าย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1300</t>
        </is>
      </c>
      <c r="B10" s="16" t="inlineStr">
        <is>
          <t>เงินให้กู้ยืม - เงินต้น</t>
        </is>
      </c>
      <c r="C10" s="16" t="inlineStr">
        <is>
          <t>สินทรัพย์</t>
        </is>
      </c>
      <c r="D10" s="16" t="inlineStr">
        <is>
          <t>เงินให้กู้และลงทุนตามสัญญา</t>
        </is>
      </c>
      <c r="E10" s="17" t="n"/>
      <c r="F10" s="18" t="n"/>
    </row>
    <row r="11">
      <c r="A11" s="16" t="inlineStr">
        <is>
          <t>1400</t>
        </is>
      </c>
      <c r="B11" s="16" t="inlineStr">
        <is>
          <t>เงินลงทุนขายฝาก - เงินต้น</t>
        </is>
      </c>
      <c r="C11" s="16" t="inlineStr">
        <is>
          <t>สินทรัพย์</t>
        </is>
      </c>
      <c r="D11" s="16" t="inlineStr">
        <is>
          <t>เงินให้กู้และลงทุนตามสัญญา</t>
        </is>
      </c>
      <c r="E11" s="17" t="n"/>
      <c r="F11" s="18" t="n"/>
    </row>
    <row r="12">
      <c r="A12" s="16" t="inlineStr">
        <is>
          <t>1410</t>
        </is>
      </c>
      <c r="B12" s="16" t="inlineStr">
        <is>
          <t>เงินลงทุนจำนอง - เงินต้น</t>
        </is>
      </c>
      <c r="C12" s="16" t="inlineStr">
        <is>
          <t>สินทรัพย์</t>
        </is>
      </c>
      <c r="D12" s="16" t="inlineStr">
        <is>
          <t>เงินให้กู้และลงทุนตามสัญญา</t>
        </is>
      </c>
      <c r="E12" s="17" t="n"/>
      <c r="F12" s="18" t="n"/>
    </row>
    <row r="13">
      <c r="A13" s="16" t="inlineStr">
        <is>
          <t>1500</t>
        </is>
      </c>
      <c r="B13" s="16" t="inlineStr">
        <is>
          <t>อสังหาริมทรัพย์เพื่อการลงทุน</t>
        </is>
      </c>
      <c r="C13" s="16" t="inlineStr">
        <is>
          <t>สินทรัพย์</t>
        </is>
      </c>
      <c r="D13" s="16" t="inlineStr">
        <is>
          <t>อสังหาริมทรัพย์เพื่อการลงทุน</t>
        </is>
      </c>
      <c r="E13" s="17" t="n">
        <v>3000000</v>
      </c>
      <c r="F13" s="18" t="n"/>
    </row>
    <row r="14">
      <c r="A14" s="16" t="inlineStr">
        <is>
          <t>1510</t>
        </is>
      </c>
      <c r="B14" s="16" t="inlineStr">
        <is>
          <t>ค่ารีโนเวท (บันทึกเป็นทุน)</t>
        </is>
      </c>
      <c r="C14" s="16" t="inlineStr">
        <is>
          <t>สินทรัพย์</t>
        </is>
      </c>
      <c r="D14" s="16" t="inlineStr">
        <is>
          <t>อสังหาริมทรัพย์เพื่อการลงทุน</t>
        </is>
      </c>
      <c r="E14" s="17" t="n"/>
      <c r="F14" s="18" t="n"/>
    </row>
    <row r="15">
      <c r="A15" s="16" t="inlineStr">
        <is>
          <t>1700</t>
        </is>
      </c>
      <c r="B15" s="16" t="inlineStr">
        <is>
          <t>เงินลงทุนในหลักทรัพย์</t>
        </is>
      </c>
      <c r="C15" s="16" t="inlineStr">
        <is>
          <t>สินทรัพย์</t>
        </is>
      </c>
      <c r="D15" s="16" t="inlineStr">
        <is>
          <t>เงินลงทุน</t>
        </is>
      </c>
      <c r="E15" s="17" t="n">
        <v>300000</v>
      </c>
      <c r="F15" s="18" t="n"/>
    </row>
    <row r="16">
      <c r="A16" s="16" t="inlineStr">
        <is>
          <t>1720</t>
        </is>
      </c>
      <c r="B16" s="16" t="inlineStr">
        <is>
          <t>เงินลงทุนในทองคำและสินทรัพย์ทางเลือก</t>
        </is>
      </c>
      <c r="C16" s="16" t="inlineStr">
        <is>
          <t>สินทรัพย์</t>
        </is>
      </c>
      <c r="D16" s="16" t="inlineStr">
        <is>
          <t>เงินลงทุน</t>
        </is>
      </c>
      <c r="E16" s="17" t="n"/>
      <c r="F16" s="18" t="n"/>
    </row>
    <row r="17">
      <c r="A17" s="16" t="inlineStr">
        <is>
          <t>1710</t>
        </is>
      </c>
      <c r="B17" s="16" t="inlineStr">
        <is>
          <t>เงินลงทุนในบริษัทในเครือ</t>
        </is>
      </c>
      <c r="C17" s="16" t="inlineStr">
        <is>
          <t>สินทรัพย์</t>
        </is>
      </c>
      <c r="D17" s="16" t="inlineStr">
        <is>
          <t>เงินลงทุน</t>
        </is>
      </c>
      <c r="E17" s="17" t="n"/>
      <c r="F17" s="18" t="n"/>
    </row>
    <row r="18">
      <c r="A18" s="16" t="inlineStr">
        <is>
          <t>1310</t>
        </is>
      </c>
      <c r="B18" s="16" t="inlineStr">
        <is>
          <t>ลูกหนี้ระหว่างกัน (ในกองกลาง)</t>
        </is>
      </c>
      <c r="C18" s="16" t="inlineStr">
        <is>
          <t>สินทรัพย์</t>
        </is>
      </c>
      <c r="D18" s="16" t="inlineStr">
        <is>
          <t>รายการระหว่างกัน (ตัดออกในงบรวม)</t>
        </is>
      </c>
      <c r="E18" s="17" t="n">
        <v>100000</v>
      </c>
      <c r="F18" s="18" t="n"/>
    </row>
    <row r="19">
      <c r="A19" s="16" t="inlineStr">
        <is>
          <t>2100</t>
        </is>
      </c>
      <c r="B19" s="16" t="inlineStr">
        <is>
          <t>เจ้าหนี้การค้า-เจ้าหนี้อื่น</t>
        </is>
      </c>
      <c r="C19" s="16" t="inlineStr">
        <is>
          <t>หนี้สิน</t>
        </is>
      </c>
      <c r="D19" s="16" t="inlineStr">
        <is>
          <t>หนี้สินหมุนเวียน</t>
        </is>
      </c>
      <c r="E19" s="17" t="n"/>
      <c r="F19" s="18" t="n"/>
    </row>
    <row r="20">
      <c r="A20" s="16" t="inlineStr">
        <is>
          <t>2200</t>
        </is>
      </c>
      <c r="B20" s="16" t="inlineStr">
        <is>
          <t>เงินมัดจำรับจากผู้เช่า</t>
        </is>
      </c>
      <c r="C20" s="16" t="inlineStr">
        <is>
          <t>หนี้สิน</t>
        </is>
      </c>
      <c r="D20" s="16" t="inlineStr">
        <is>
          <t>หนี้สินหมุนเวียน</t>
        </is>
      </c>
      <c r="E20" s="17" t="n"/>
      <c r="F20" s="18" t="n"/>
    </row>
    <row r="21">
      <c r="A21" s="16" t="inlineStr">
        <is>
          <t>2410</t>
        </is>
      </c>
      <c r="B21" s="16" t="inlineStr">
        <is>
          <t>เงินกู้ธนาคาร</t>
        </is>
      </c>
      <c r="C21" s="16" t="inlineStr">
        <is>
          <t>หนี้สิน</t>
        </is>
      </c>
      <c r="D21" s="16" t="inlineStr">
        <is>
          <t>เงินกู้</t>
        </is>
      </c>
      <c r="E21" s="17" t="n">
        <v>500000</v>
      </c>
      <c r="F21" s="18" t="n"/>
    </row>
    <row r="22">
      <c r="A22" s="16" t="inlineStr">
        <is>
          <t>2300</t>
        </is>
      </c>
      <c r="B22" s="16" t="inlineStr">
        <is>
          <t>เงินกู้ยืมกรรมการ</t>
        </is>
      </c>
      <c r="C22" s="16" t="inlineStr">
        <is>
          <t>หนี้สิน</t>
        </is>
      </c>
      <c r="D22" s="16" t="inlineStr">
        <is>
          <t>เงินกู้</t>
        </is>
      </c>
      <c r="E22" s="17" t="n"/>
      <c r="F22" s="18" t="n"/>
    </row>
    <row r="23">
      <c r="A23" s="16" t="inlineStr">
        <is>
          <t>2400</t>
        </is>
      </c>
      <c r="B23" s="16" t="inlineStr">
        <is>
          <t>เงินกู้ยืมอื่น</t>
        </is>
      </c>
      <c r="C23" s="16" t="inlineStr">
        <is>
          <t>หนี้สิน</t>
        </is>
      </c>
      <c r="D23" s="16" t="inlineStr">
        <is>
          <t>เงินกู้</t>
        </is>
      </c>
      <c r="E23" s="17" t="n"/>
      <c r="F23" s="18" t="n"/>
    </row>
    <row r="24">
      <c r="A24" s="16" t="inlineStr">
        <is>
          <t>2310</t>
        </is>
      </c>
      <c r="B24" s="16" t="inlineStr">
        <is>
          <t>เจ้าหนี้ระหว่างกัน (ในกองกลาง)</t>
        </is>
      </c>
      <c r="C24" s="16" t="inlineStr">
        <is>
          <t>หนี้สิน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3100</t>
        </is>
      </c>
      <c r="B25" s="16" t="inlineStr">
        <is>
          <t>ทุนตั้งต้น</t>
        </is>
      </c>
      <c r="C25" s="16" t="inlineStr">
        <is>
          <t>ส่วนของเจ้าของ</t>
        </is>
      </c>
      <c r="D25" s="16" t="inlineStr">
        <is>
          <t>ส่วนของเจ้าของ</t>
        </is>
      </c>
      <c r="E25" s="17" t="n">
        <v>2000000</v>
      </c>
      <c r="F25" s="18" t="n"/>
    </row>
    <row r="26">
      <c r="A26" s="16" t="inlineStr">
        <is>
          <t>3300</t>
        </is>
      </c>
      <c r="B26" s="16" t="inlineStr">
        <is>
          <t>กำไรสะสม</t>
        </is>
      </c>
      <c r="C26" s="16" t="inlineStr">
        <is>
          <t>ส่วนของเจ้าของ</t>
        </is>
      </c>
      <c r="D26" s="16" t="inlineStr">
        <is>
          <t>ส่วนของเจ้าของ</t>
        </is>
      </c>
      <c r="E26" s="17" t="n">
        <v>1920000</v>
      </c>
      <c r="F26" s="18" t="n"/>
    </row>
    <row r="27"/>
    <row r="28">
      <c r="A28" s="19" t="n"/>
      <c r="B28" s="20" t="inlineStr">
        <is>
          <t>รวมสินทรัพย์</t>
        </is>
      </c>
      <c r="C28" s="19" t="n"/>
      <c r="D28" s="19" t="n"/>
      <c r="E28" s="21">
        <f>SUM(E6,E7,E8,E9,E10,E11,E12,E13,E14,E15,E16,E17,E18)</f>
        <v/>
      </c>
      <c r="F28" s="19" t="n"/>
    </row>
    <row r="29">
      <c r="A29" s="19" t="n"/>
      <c r="B29" s="20" t="inlineStr">
        <is>
          <t>รวมหนี้สิน</t>
        </is>
      </c>
      <c r="C29" s="19" t="n"/>
      <c r="D29" s="19" t="n"/>
      <c r="E29" s="21">
        <f>SUM(E19,E20,E21,E22,E23,E24)</f>
        <v/>
      </c>
      <c r="F29" s="19" t="n"/>
    </row>
    <row r="30">
      <c r="A30" s="19" t="n"/>
      <c r="B30" s="20" t="inlineStr">
        <is>
          <t>รวมส่วนของเจ้าของ</t>
        </is>
      </c>
      <c r="C30" s="19" t="n"/>
      <c r="D30" s="19" t="n"/>
      <c r="E30" s="21">
        <f>SUM(E25,E26)</f>
        <v/>
      </c>
      <c r="F30" s="19" t="n"/>
    </row>
    <row r="31"/>
    <row r="32">
      <c r="A32" s="22" t="n"/>
      <c r="B32" s="23" t="inlineStr">
        <is>
          <t>ตรวจ: สินทรัพย์ − หนี้สิน − ส่วนของเจ้าของ</t>
        </is>
      </c>
      <c r="C32" s="22" t="n"/>
      <c r="D32" s="22" t="n"/>
      <c r="E32" s="24">
        <f>E28-E29-E30</f>
        <v/>
      </c>
      <c r="F3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33"/>
    <row r="34"/>
    <row r="35">
      <c r="B35" s="3" t="inlineStr">
        <is>
          <t>แยกยอดเงินสดตามบัญชี (ต้องรวมได้เท่าบรรทัด 1100)</t>
        </is>
      </c>
    </row>
    <row r="36">
      <c r="B3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37">
      <c r="B37" s="26" t="inlineStr">
        <is>
          <t>บัญชี</t>
        </is>
      </c>
      <c r="C37" s="26" t="inlineStr">
        <is>
          <t>ธนาคาร / ช่องทาง</t>
        </is>
      </c>
      <c r="D37" s="26" t="inlineStr">
        <is>
          <t>เลขท้าย</t>
        </is>
      </c>
      <c r="E37" s="27" t="inlineStr">
        <is>
          <t>ยอดตั้งต้น</t>
        </is>
      </c>
    </row>
    <row r="38">
      <c r="B38" s="28" t="inlineStr">
        <is>
          <t>ธนากร - BBL 888</t>
        </is>
      </c>
      <c r="C38" s="28" t="inlineStr">
        <is>
          <t>กรุงเทพ</t>
        </is>
      </c>
      <c r="D38" s="28" t="inlineStr">
        <is>
          <t>8888</t>
        </is>
      </c>
      <c r="E38" s="17" t="n">
        <v>600000</v>
      </c>
    </row>
    <row r="39">
      <c r="B39" s="28" t="inlineStr">
        <is>
          <t>ธนากร - SCB</t>
        </is>
      </c>
      <c r="C39" s="28" t="inlineStr">
        <is>
          <t>ไทยพาณิชย์</t>
        </is>
      </c>
      <c r="D39" s="28" t="inlineStr">
        <is>
          <t>3021</t>
        </is>
      </c>
      <c r="E39" s="17" t="n">
        <v>400000</v>
      </c>
    </row>
    <row r="40">
      <c r="B40" s="18" t="n"/>
      <c r="C40" s="22" t="n"/>
      <c r="D40" s="22" t="n"/>
      <c r="E40" s="29" t="n"/>
      <c r="F40" s="2" t="inlineStr">
        <is>
          <t>← บัญชีใหม่ที่ยังไม่มีในระบบ กรอกชื่อ+ธนาคาร+ยอด</t>
        </is>
      </c>
    </row>
    <row r="41">
      <c r="B41" s="18" t="n"/>
      <c r="C41" s="22" t="n"/>
      <c r="D41" s="22" t="n"/>
      <c r="E41" s="29" t="n"/>
      <c r="F41" s="2" t="inlineStr">
        <is>
          <t>← บัญชีใหม่ที่ยังไม่มีในระบบ กรอกชื่อ+ธนาคาร+ยอด</t>
        </is>
      </c>
    </row>
    <row r="42">
      <c r="B42" s="18" t="n"/>
      <c r="C42" s="22" t="n"/>
      <c r="D42" s="22" t="n"/>
      <c r="E42" s="29" t="n"/>
      <c r="F42" s="2" t="inlineStr">
        <is>
          <t>← บัญชีใหม่ที่ยังไม่มีในระบบ กรอกชื่อ+ธนาคาร+ยอด</t>
        </is>
      </c>
    </row>
    <row r="43">
      <c r="B43" s="18" t="n"/>
      <c r="C43" s="22" t="n"/>
      <c r="D43" s="22" t="n"/>
      <c r="E43" s="29" t="n"/>
      <c r="F43" s="2" t="inlineStr">
        <is>
          <t>← บัญชีใหม่ที่ยังไม่มีในระบบ กรอกชื่อ+ธนาคาร+ยอด</t>
        </is>
      </c>
    </row>
    <row r="44">
      <c r="B44" s="18" t="n"/>
      <c r="C44" s="22" t="n"/>
      <c r="D44" s="22" t="n"/>
      <c r="E44" s="29" t="n"/>
      <c r="F44" s="2" t="inlineStr">
        <is>
          <t>← บัญชีใหม่ที่ยังไม่มีในระบบ กรอกชื่อ+ธนาคาร+ยอด</t>
        </is>
      </c>
    </row>
    <row r="45">
      <c r="B45" s="18" t="n"/>
      <c r="C45" s="22" t="n"/>
      <c r="D45" s="22" t="n"/>
      <c r="E45" s="29" t="n"/>
      <c r="F45" s="2" t="inlineStr">
        <is>
          <t>← บัญชีใหม่ที่ยังไม่มีในระบบ กรอกชื่อ+ธนาคาร+ยอด</t>
        </is>
      </c>
    </row>
    <row r="46">
      <c r="B46" s="20" t="inlineStr">
        <is>
          <t>รวมเงินสด</t>
        </is>
      </c>
      <c r="C46" s="19" t="n"/>
      <c r="D46" s="19" t="n"/>
      <c r="E46" s="21">
        <f>SUM(E38:E45)</f>
        <v/>
      </c>
      <c r="F46" s="30" t="inlineStr">
        <is>
          <t>ต้องเท่ากับบรรทัด 1100 (แถว 6)</t>
        </is>
      </c>
    </row>
    <row r="47">
      <c r="B47" s="23" t="inlineStr">
        <is>
          <t>ตรวจ: ผลต่างกับบรรทัด 1100</t>
        </is>
      </c>
      <c r="C47" s="22" t="n"/>
      <c r="D47" s="22" t="n"/>
      <c r="E47" s="24">
        <f>E46-E6</f>
        <v/>
      </c>
    </row>
  </sheetData>
  <mergeCells count="2">
    <mergeCell ref="A2:F2"/>
    <mergeCell ref="A1:F1"/>
  </mergeCells>
  <conditionalFormatting sqref="E3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47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ธนวินท์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1600</t>
        </is>
      </c>
      <c r="B9" s="16" t="inlineStr">
        <is>
          <t>เงินมัดจำจ่าย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1300</t>
        </is>
      </c>
      <c r="B10" s="16" t="inlineStr">
        <is>
          <t>เงินให้กู้ยืม - เงินต้น</t>
        </is>
      </c>
      <c r="C10" s="16" t="inlineStr">
        <is>
          <t>สินทรัพย์</t>
        </is>
      </c>
      <c r="D10" s="16" t="inlineStr">
        <is>
          <t>เงินให้กู้และลงทุนตามสัญญา</t>
        </is>
      </c>
      <c r="E10" s="17" t="n"/>
      <c r="F10" s="18" t="n"/>
    </row>
    <row r="11">
      <c r="A11" s="16" t="inlineStr">
        <is>
          <t>1400</t>
        </is>
      </c>
      <c r="B11" s="16" t="inlineStr">
        <is>
          <t>เงินลงทุนขายฝาก - เงินต้น</t>
        </is>
      </c>
      <c r="C11" s="16" t="inlineStr">
        <is>
          <t>สินทรัพย์</t>
        </is>
      </c>
      <c r="D11" s="16" t="inlineStr">
        <is>
          <t>เงินให้กู้และลงทุนตามสัญญา</t>
        </is>
      </c>
      <c r="E11" s="17" t="n"/>
      <c r="F11" s="18" t="n"/>
    </row>
    <row r="12">
      <c r="A12" s="16" t="inlineStr">
        <is>
          <t>1410</t>
        </is>
      </c>
      <c r="B12" s="16" t="inlineStr">
        <is>
          <t>เงินลงทุนจำนอง - เงินต้น</t>
        </is>
      </c>
      <c r="C12" s="16" t="inlineStr">
        <is>
          <t>สินทรัพย์</t>
        </is>
      </c>
      <c r="D12" s="16" t="inlineStr">
        <is>
          <t>เงินให้กู้และลงทุนตามสัญญา</t>
        </is>
      </c>
      <c r="E12" s="17" t="n"/>
      <c r="F12" s="18" t="n"/>
    </row>
    <row r="13">
      <c r="A13" s="16" t="inlineStr">
        <is>
          <t>1500</t>
        </is>
      </c>
      <c r="B13" s="16" t="inlineStr">
        <is>
          <t>อสังหาริมทรัพย์เพื่อการลงทุน</t>
        </is>
      </c>
      <c r="C13" s="16" t="inlineStr">
        <is>
          <t>สินทรัพย์</t>
        </is>
      </c>
      <c r="D13" s="16" t="inlineStr">
        <is>
          <t>อสังหาริมทรัพย์เพื่อการลงทุน</t>
        </is>
      </c>
      <c r="E13" s="17" t="n"/>
      <c r="F13" s="18" t="n"/>
    </row>
    <row r="14">
      <c r="A14" s="16" t="inlineStr">
        <is>
          <t>1510</t>
        </is>
      </c>
      <c r="B14" s="16" t="inlineStr">
        <is>
          <t>ค่ารีโนเวท (บันทึกเป็นทุน)</t>
        </is>
      </c>
      <c r="C14" s="16" t="inlineStr">
        <is>
          <t>สินทรัพย์</t>
        </is>
      </c>
      <c r="D14" s="16" t="inlineStr">
        <is>
          <t>อสังหาริมทรัพย์เพื่อการลงทุน</t>
        </is>
      </c>
      <c r="E14" s="17" t="n"/>
      <c r="F14" s="18" t="n"/>
    </row>
    <row r="15">
      <c r="A15" s="16" t="inlineStr">
        <is>
          <t>1700</t>
        </is>
      </c>
      <c r="B15" s="16" t="inlineStr">
        <is>
          <t>เงินลงทุนในหลักทรัพย์</t>
        </is>
      </c>
      <c r="C15" s="16" t="inlineStr">
        <is>
          <t>สินทรัพย์</t>
        </is>
      </c>
      <c r="D15" s="16" t="inlineStr">
        <is>
          <t>เงินลงทุน</t>
        </is>
      </c>
      <c r="E15" s="17" t="n"/>
      <c r="F15" s="18" t="n"/>
    </row>
    <row r="16">
      <c r="A16" s="16" t="inlineStr">
        <is>
          <t>1720</t>
        </is>
      </c>
      <c r="B16" s="16" t="inlineStr">
        <is>
          <t>เงินลงทุนในทองคำและสินทรัพย์ทางเลือก</t>
        </is>
      </c>
      <c r="C16" s="16" t="inlineStr">
        <is>
          <t>สินทรัพย์</t>
        </is>
      </c>
      <c r="D16" s="16" t="inlineStr">
        <is>
          <t>เงินลงทุน</t>
        </is>
      </c>
      <c r="E16" s="17" t="n"/>
      <c r="F16" s="18" t="n"/>
    </row>
    <row r="17">
      <c r="A17" s="16" t="inlineStr">
        <is>
          <t>1710</t>
        </is>
      </c>
      <c r="B17" s="16" t="inlineStr">
        <is>
          <t>เงินลงทุนในบริษัทในเครือ</t>
        </is>
      </c>
      <c r="C17" s="16" t="inlineStr">
        <is>
          <t>สินทรัพย์</t>
        </is>
      </c>
      <c r="D17" s="16" t="inlineStr">
        <is>
          <t>เงินลงทุน</t>
        </is>
      </c>
      <c r="E17" s="17" t="n"/>
      <c r="F17" s="18" t="n"/>
    </row>
    <row r="18">
      <c r="A18" s="16" t="inlineStr">
        <is>
          <t>1310</t>
        </is>
      </c>
      <c r="B18" s="16" t="inlineStr">
        <is>
          <t>ลูกหนี้ระหว่างกัน (ในกองกลาง)</t>
        </is>
      </c>
      <c r="C18" s="16" t="inlineStr">
        <is>
          <t>สินทรัพย์</t>
        </is>
      </c>
      <c r="D18" s="16" t="inlineStr">
        <is>
          <t>รายการระหว่างกัน (ตัดออกในงบรวม)</t>
        </is>
      </c>
      <c r="E18" s="17" t="n"/>
      <c r="F18" s="18" t="n"/>
    </row>
    <row r="19">
      <c r="A19" s="16" t="inlineStr">
        <is>
          <t>2100</t>
        </is>
      </c>
      <c r="B19" s="16" t="inlineStr">
        <is>
          <t>เจ้าหนี้การค้า-เจ้าหนี้อื่น</t>
        </is>
      </c>
      <c r="C19" s="16" t="inlineStr">
        <is>
          <t>หนี้สิน</t>
        </is>
      </c>
      <c r="D19" s="16" t="inlineStr">
        <is>
          <t>หนี้สินหมุนเวียน</t>
        </is>
      </c>
      <c r="E19" s="17" t="n"/>
      <c r="F19" s="18" t="n"/>
    </row>
    <row r="20">
      <c r="A20" s="16" t="inlineStr">
        <is>
          <t>2200</t>
        </is>
      </c>
      <c r="B20" s="16" t="inlineStr">
        <is>
          <t>เงินมัดจำรับจากผู้เช่า</t>
        </is>
      </c>
      <c r="C20" s="16" t="inlineStr">
        <is>
          <t>หนี้สิน</t>
        </is>
      </c>
      <c r="D20" s="16" t="inlineStr">
        <is>
          <t>หนี้สินหมุนเวียน</t>
        </is>
      </c>
      <c r="E20" s="17" t="n"/>
      <c r="F20" s="18" t="n"/>
    </row>
    <row r="21">
      <c r="A21" s="16" t="inlineStr">
        <is>
          <t>2410</t>
        </is>
      </c>
      <c r="B21" s="16" t="inlineStr">
        <is>
          <t>เงินกู้ธนาคาร</t>
        </is>
      </c>
      <c r="C21" s="16" t="inlineStr">
        <is>
          <t>หนี้สิน</t>
        </is>
      </c>
      <c r="D21" s="16" t="inlineStr">
        <is>
          <t>เงินกู้</t>
        </is>
      </c>
      <c r="E21" s="17" t="n"/>
      <c r="F21" s="18" t="n"/>
    </row>
    <row r="22">
      <c r="A22" s="16" t="inlineStr">
        <is>
          <t>2300</t>
        </is>
      </c>
      <c r="B22" s="16" t="inlineStr">
        <is>
          <t>เงินกู้ยืมกรรมการ</t>
        </is>
      </c>
      <c r="C22" s="16" t="inlineStr">
        <is>
          <t>หนี้สิน</t>
        </is>
      </c>
      <c r="D22" s="16" t="inlineStr">
        <is>
          <t>เงินกู้</t>
        </is>
      </c>
      <c r="E22" s="17" t="n"/>
      <c r="F22" s="18" t="n"/>
    </row>
    <row r="23">
      <c r="A23" s="16" t="inlineStr">
        <is>
          <t>2400</t>
        </is>
      </c>
      <c r="B23" s="16" t="inlineStr">
        <is>
          <t>เงินกู้ยืมอื่น</t>
        </is>
      </c>
      <c r="C23" s="16" t="inlineStr">
        <is>
          <t>หนี้สิน</t>
        </is>
      </c>
      <c r="D23" s="16" t="inlineStr">
        <is>
          <t>เงินกู้</t>
        </is>
      </c>
      <c r="E23" s="17" t="n"/>
      <c r="F23" s="18" t="n"/>
    </row>
    <row r="24">
      <c r="A24" s="16" t="inlineStr">
        <is>
          <t>2310</t>
        </is>
      </c>
      <c r="B24" s="16" t="inlineStr">
        <is>
          <t>เจ้าหนี้ระหว่างกัน (ในกองกลาง)</t>
        </is>
      </c>
      <c r="C24" s="16" t="inlineStr">
        <is>
          <t>หนี้สิน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3100</t>
        </is>
      </c>
      <c r="B25" s="16" t="inlineStr">
        <is>
          <t>ทุนตั้งต้น</t>
        </is>
      </c>
      <c r="C25" s="16" t="inlineStr">
        <is>
          <t>ส่วนของเจ้าของ</t>
        </is>
      </c>
      <c r="D25" s="16" t="inlineStr">
        <is>
          <t>ส่วนของเจ้าของ</t>
        </is>
      </c>
      <c r="E25" s="17" t="n"/>
      <c r="F25" s="18" t="n"/>
    </row>
    <row r="26">
      <c r="A26" s="16" t="inlineStr">
        <is>
          <t>3300</t>
        </is>
      </c>
      <c r="B26" s="16" t="inlineStr">
        <is>
          <t>กำไรสะสม</t>
        </is>
      </c>
      <c r="C26" s="16" t="inlineStr">
        <is>
          <t>ส่วนของเจ้าของ</t>
        </is>
      </c>
      <c r="D26" s="16" t="inlineStr">
        <is>
          <t>ส่วนของเจ้าของ</t>
        </is>
      </c>
      <c r="E26" s="17" t="n"/>
      <c r="F26" s="18" t="n"/>
    </row>
    <row r="28">
      <c r="A28" s="19" t="n"/>
      <c r="B28" s="20" t="inlineStr">
        <is>
          <t>รวมสินทรัพย์</t>
        </is>
      </c>
      <c r="C28" s="19" t="n"/>
      <c r="D28" s="19" t="n"/>
      <c r="E28" s="21">
        <f>SUM(E6,E7,E8,E9,E10,E11,E12,E13,E14,E15,E16,E17,E18)</f>
        <v/>
      </c>
      <c r="F28" s="19" t="n"/>
    </row>
    <row r="29">
      <c r="A29" s="19" t="n"/>
      <c r="B29" s="20" t="inlineStr">
        <is>
          <t>รวมหนี้สิน</t>
        </is>
      </c>
      <c r="C29" s="19" t="n"/>
      <c r="D29" s="19" t="n"/>
      <c r="E29" s="21">
        <f>SUM(E19,E20,E21,E22,E23,E24)</f>
        <v/>
      </c>
      <c r="F29" s="19" t="n"/>
    </row>
    <row r="30">
      <c r="A30" s="19" t="n"/>
      <c r="B30" s="20" t="inlineStr">
        <is>
          <t>รวมส่วนของเจ้าของ</t>
        </is>
      </c>
      <c r="C30" s="19" t="n"/>
      <c r="D30" s="19" t="n"/>
      <c r="E30" s="21">
        <f>SUM(E25,E26)</f>
        <v/>
      </c>
      <c r="F30" s="19" t="n"/>
    </row>
    <row r="32">
      <c r="A32" s="22" t="n"/>
      <c r="B32" s="23" t="inlineStr">
        <is>
          <t>ตรวจ: สินทรัพย์ − หนี้สิน − ส่วนของเจ้าของ</t>
        </is>
      </c>
      <c r="C32" s="22" t="n"/>
      <c r="D32" s="22" t="n"/>
      <c r="E32" s="24">
        <f>E28-E29-E30</f>
        <v/>
      </c>
      <c r="F3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35">
      <c r="B35" s="3" t="inlineStr">
        <is>
          <t>แยกยอดเงินสดตามบัญชี (ต้องรวมได้เท่าบรรทัด 1100)</t>
        </is>
      </c>
    </row>
    <row r="36">
      <c r="B3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37">
      <c r="B37" s="26" t="inlineStr">
        <is>
          <t>บัญชี</t>
        </is>
      </c>
      <c r="C37" s="26" t="inlineStr">
        <is>
          <t>ธนาคาร / ช่องทาง</t>
        </is>
      </c>
      <c r="D37" s="26" t="inlineStr">
        <is>
          <t>เลขท้าย</t>
        </is>
      </c>
      <c r="E37" s="27" t="inlineStr">
        <is>
          <t>ยอดตั้งต้น</t>
        </is>
      </c>
    </row>
    <row r="38">
      <c r="B38" s="28" t="inlineStr">
        <is>
          <t>ธนวินท์ - KBANK</t>
        </is>
      </c>
      <c r="C38" s="28" t="inlineStr">
        <is>
          <t>กสิกรไทย</t>
        </is>
      </c>
      <c r="D38" s="28" t="inlineStr">
        <is>
          <t>5520</t>
        </is>
      </c>
      <c r="E38" s="17" t="n"/>
    </row>
    <row r="39">
      <c r="B39" s="28" t="inlineStr">
        <is>
          <t>ธนวินท์ - BBL</t>
        </is>
      </c>
      <c r="C39" s="28" t="inlineStr">
        <is>
          <t>กรุงเทพ</t>
        </is>
      </c>
      <c r="D39" s="28" t="inlineStr">
        <is>
          <t>3317</t>
        </is>
      </c>
      <c r="E39" s="17" t="n"/>
    </row>
    <row r="40">
      <c r="B40" s="18" t="n"/>
      <c r="C40" s="22" t="n"/>
      <c r="D40" s="22" t="n"/>
      <c r="E40" s="29" t="n"/>
      <c r="F40" s="2" t="inlineStr">
        <is>
          <t>← บัญชีใหม่ที่ยังไม่มีในระบบ กรอกชื่อ+ธนาคาร+ยอด</t>
        </is>
      </c>
    </row>
    <row r="41">
      <c r="B41" s="18" t="n"/>
      <c r="C41" s="22" t="n"/>
      <c r="D41" s="22" t="n"/>
      <c r="E41" s="29" t="n"/>
      <c r="F41" s="2" t="inlineStr">
        <is>
          <t>← บัญชีใหม่ที่ยังไม่มีในระบบ กรอกชื่อ+ธนาคาร+ยอด</t>
        </is>
      </c>
    </row>
    <row r="42">
      <c r="B42" s="18" t="n"/>
      <c r="C42" s="22" t="n"/>
      <c r="D42" s="22" t="n"/>
      <c r="E42" s="29" t="n"/>
      <c r="F42" s="2" t="inlineStr">
        <is>
          <t>← บัญชีใหม่ที่ยังไม่มีในระบบ กรอกชื่อ+ธนาคาร+ยอด</t>
        </is>
      </c>
    </row>
    <row r="43">
      <c r="B43" s="18" t="n"/>
      <c r="C43" s="22" t="n"/>
      <c r="D43" s="22" t="n"/>
      <c r="E43" s="29" t="n"/>
      <c r="F43" s="2" t="inlineStr">
        <is>
          <t>← บัญชีใหม่ที่ยังไม่มีในระบบ กรอกชื่อ+ธนาคาร+ยอด</t>
        </is>
      </c>
    </row>
    <row r="44">
      <c r="B44" s="18" t="n"/>
      <c r="C44" s="22" t="n"/>
      <c r="D44" s="22" t="n"/>
      <c r="E44" s="29" t="n"/>
      <c r="F44" s="2" t="inlineStr">
        <is>
          <t>← บัญชีใหม่ที่ยังไม่มีในระบบ กรอกชื่อ+ธนาคาร+ยอด</t>
        </is>
      </c>
    </row>
    <row r="45">
      <c r="B45" s="18" t="n"/>
      <c r="C45" s="22" t="n"/>
      <c r="D45" s="22" t="n"/>
      <c r="E45" s="29" t="n"/>
      <c r="F45" s="2" t="inlineStr">
        <is>
          <t>← บัญชีใหม่ที่ยังไม่มีในระบบ กรอกชื่อ+ธนาคาร+ยอด</t>
        </is>
      </c>
    </row>
    <row r="46">
      <c r="B46" s="20" t="inlineStr">
        <is>
          <t>รวมเงินสด</t>
        </is>
      </c>
      <c r="C46" s="19" t="n"/>
      <c r="D46" s="19" t="n"/>
      <c r="E46" s="21">
        <f>SUM(E38:E45)</f>
        <v/>
      </c>
      <c r="F46" s="30" t="inlineStr">
        <is>
          <t>ต้องเท่ากับบรรทัด 1100 (แถว 6)</t>
        </is>
      </c>
    </row>
    <row r="47">
      <c r="B47" s="23" t="inlineStr">
        <is>
          <t>ตรวจ: ผลต่างกับบรรทัด 1100</t>
        </is>
      </c>
      <c r="C47" s="22" t="n"/>
      <c r="D47" s="22" t="n"/>
      <c r="E47" s="24">
        <f>E46-E6</f>
        <v/>
      </c>
    </row>
  </sheetData>
  <mergeCells count="2">
    <mergeCell ref="A2:F2"/>
    <mergeCell ref="A1:F1"/>
  </mergeCells>
  <conditionalFormatting sqref="E3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47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เบ็ญจพร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1600</t>
        </is>
      </c>
      <c r="B9" s="16" t="inlineStr">
        <is>
          <t>เงินมัดจำจ่าย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1300</t>
        </is>
      </c>
      <c r="B10" s="16" t="inlineStr">
        <is>
          <t>เงินให้กู้ยืม - เงินต้น</t>
        </is>
      </c>
      <c r="C10" s="16" t="inlineStr">
        <is>
          <t>สินทรัพย์</t>
        </is>
      </c>
      <c r="D10" s="16" t="inlineStr">
        <is>
          <t>เงินให้กู้และลงทุนตามสัญญา</t>
        </is>
      </c>
      <c r="E10" s="17" t="n"/>
      <c r="F10" s="18" t="n"/>
    </row>
    <row r="11">
      <c r="A11" s="16" t="inlineStr">
        <is>
          <t>1400</t>
        </is>
      </c>
      <c r="B11" s="16" t="inlineStr">
        <is>
          <t>เงินลงทุนขายฝาก - เงินต้น</t>
        </is>
      </c>
      <c r="C11" s="16" t="inlineStr">
        <is>
          <t>สินทรัพย์</t>
        </is>
      </c>
      <c r="D11" s="16" t="inlineStr">
        <is>
          <t>เงินให้กู้และลงทุนตามสัญญา</t>
        </is>
      </c>
      <c r="E11" s="17" t="n"/>
      <c r="F11" s="18" t="n"/>
    </row>
    <row r="12">
      <c r="A12" s="16" t="inlineStr">
        <is>
          <t>1410</t>
        </is>
      </c>
      <c r="B12" s="16" t="inlineStr">
        <is>
          <t>เงินลงทุนจำนอง - เงินต้น</t>
        </is>
      </c>
      <c r="C12" s="16" t="inlineStr">
        <is>
          <t>สินทรัพย์</t>
        </is>
      </c>
      <c r="D12" s="16" t="inlineStr">
        <is>
          <t>เงินให้กู้และลงทุนตามสัญญา</t>
        </is>
      </c>
      <c r="E12" s="17" t="n"/>
      <c r="F12" s="18" t="n"/>
    </row>
    <row r="13">
      <c r="A13" s="16" t="inlineStr">
        <is>
          <t>1500</t>
        </is>
      </c>
      <c r="B13" s="16" t="inlineStr">
        <is>
          <t>อสังหาริมทรัพย์เพื่อการลงทุน</t>
        </is>
      </c>
      <c r="C13" s="16" t="inlineStr">
        <is>
          <t>สินทรัพย์</t>
        </is>
      </c>
      <c r="D13" s="16" t="inlineStr">
        <is>
          <t>อสังหาริมทรัพย์เพื่อการลงทุน</t>
        </is>
      </c>
      <c r="E13" s="17" t="n"/>
      <c r="F13" s="18" t="n"/>
    </row>
    <row r="14">
      <c r="A14" s="16" t="inlineStr">
        <is>
          <t>1510</t>
        </is>
      </c>
      <c r="B14" s="16" t="inlineStr">
        <is>
          <t>ค่ารีโนเวท (บันทึกเป็นทุน)</t>
        </is>
      </c>
      <c r="C14" s="16" t="inlineStr">
        <is>
          <t>สินทรัพย์</t>
        </is>
      </c>
      <c r="D14" s="16" t="inlineStr">
        <is>
          <t>อสังหาริมทรัพย์เพื่อการลงทุน</t>
        </is>
      </c>
      <c r="E14" s="17" t="n"/>
      <c r="F14" s="18" t="n"/>
    </row>
    <row r="15">
      <c r="A15" s="16" t="inlineStr">
        <is>
          <t>1700</t>
        </is>
      </c>
      <c r="B15" s="16" t="inlineStr">
        <is>
          <t>เงินลงทุนในหลักทรัพย์</t>
        </is>
      </c>
      <c r="C15" s="16" t="inlineStr">
        <is>
          <t>สินทรัพย์</t>
        </is>
      </c>
      <c r="D15" s="16" t="inlineStr">
        <is>
          <t>เงินลงทุน</t>
        </is>
      </c>
      <c r="E15" s="17" t="n"/>
      <c r="F15" s="18" t="n"/>
    </row>
    <row r="16">
      <c r="A16" s="16" t="inlineStr">
        <is>
          <t>1720</t>
        </is>
      </c>
      <c r="B16" s="16" t="inlineStr">
        <is>
          <t>เงินลงทุนในทองคำและสินทรัพย์ทางเลือก</t>
        </is>
      </c>
      <c r="C16" s="16" t="inlineStr">
        <is>
          <t>สินทรัพย์</t>
        </is>
      </c>
      <c r="D16" s="16" t="inlineStr">
        <is>
          <t>เงินลงทุน</t>
        </is>
      </c>
      <c r="E16" s="17" t="n"/>
      <c r="F16" s="18" t="n"/>
    </row>
    <row r="17">
      <c r="A17" s="16" t="inlineStr">
        <is>
          <t>1710</t>
        </is>
      </c>
      <c r="B17" s="16" t="inlineStr">
        <is>
          <t>เงินลงทุนในบริษัทในเครือ</t>
        </is>
      </c>
      <c r="C17" s="16" t="inlineStr">
        <is>
          <t>สินทรัพย์</t>
        </is>
      </c>
      <c r="D17" s="16" t="inlineStr">
        <is>
          <t>เงินลงทุน</t>
        </is>
      </c>
      <c r="E17" s="17" t="n"/>
      <c r="F17" s="18" t="n"/>
    </row>
    <row r="18">
      <c r="A18" s="16" t="inlineStr">
        <is>
          <t>1310</t>
        </is>
      </c>
      <c r="B18" s="16" t="inlineStr">
        <is>
          <t>ลูกหนี้ระหว่างกัน (ในกองกลาง)</t>
        </is>
      </c>
      <c r="C18" s="16" t="inlineStr">
        <is>
          <t>สินทรัพย์</t>
        </is>
      </c>
      <c r="D18" s="16" t="inlineStr">
        <is>
          <t>รายการระหว่างกัน (ตัดออกในงบรวม)</t>
        </is>
      </c>
      <c r="E18" s="17" t="n"/>
      <c r="F18" s="18" t="n"/>
    </row>
    <row r="19">
      <c r="A19" s="16" t="inlineStr">
        <is>
          <t>2100</t>
        </is>
      </c>
      <c r="B19" s="16" t="inlineStr">
        <is>
          <t>เจ้าหนี้การค้า-เจ้าหนี้อื่น</t>
        </is>
      </c>
      <c r="C19" s="16" t="inlineStr">
        <is>
          <t>หนี้สิน</t>
        </is>
      </c>
      <c r="D19" s="16" t="inlineStr">
        <is>
          <t>หนี้สินหมุนเวียน</t>
        </is>
      </c>
      <c r="E19" s="17" t="n"/>
      <c r="F19" s="18" t="n"/>
    </row>
    <row r="20">
      <c r="A20" s="16" t="inlineStr">
        <is>
          <t>2200</t>
        </is>
      </c>
      <c r="B20" s="16" t="inlineStr">
        <is>
          <t>เงินมัดจำรับจากผู้เช่า</t>
        </is>
      </c>
      <c r="C20" s="16" t="inlineStr">
        <is>
          <t>หนี้สิน</t>
        </is>
      </c>
      <c r="D20" s="16" t="inlineStr">
        <is>
          <t>หนี้สินหมุนเวียน</t>
        </is>
      </c>
      <c r="E20" s="17" t="n"/>
      <c r="F20" s="18" t="n"/>
    </row>
    <row r="21">
      <c r="A21" s="16" t="inlineStr">
        <is>
          <t>2410</t>
        </is>
      </c>
      <c r="B21" s="16" t="inlineStr">
        <is>
          <t>เงินกู้ธนาคาร</t>
        </is>
      </c>
      <c r="C21" s="16" t="inlineStr">
        <is>
          <t>หนี้สิน</t>
        </is>
      </c>
      <c r="D21" s="16" t="inlineStr">
        <is>
          <t>เงินกู้</t>
        </is>
      </c>
      <c r="E21" s="17" t="n"/>
      <c r="F21" s="18" t="n"/>
    </row>
    <row r="22">
      <c r="A22" s="16" t="inlineStr">
        <is>
          <t>2300</t>
        </is>
      </c>
      <c r="B22" s="16" t="inlineStr">
        <is>
          <t>เงินกู้ยืมกรรมการ</t>
        </is>
      </c>
      <c r="C22" s="16" t="inlineStr">
        <is>
          <t>หนี้สิน</t>
        </is>
      </c>
      <c r="D22" s="16" t="inlineStr">
        <is>
          <t>เงินกู้</t>
        </is>
      </c>
      <c r="E22" s="17" t="n"/>
      <c r="F22" s="18" t="n"/>
    </row>
    <row r="23">
      <c r="A23" s="16" t="inlineStr">
        <is>
          <t>2400</t>
        </is>
      </c>
      <c r="B23" s="16" t="inlineStr">
        <is>
          <t>เงินกู้ยืมอื่น</t>
        </is>
      </c>
      <c r="C23" s="16" t="inlineStr">
        <is>
          <t>หนี้สิน</t>
        </is>
      </c>
      <c r="D23" s="16" t="inlineStr">
        <is>
          <t>เงินกู้</t>
        </is>
      </c>
      <c r="E23" s="17" t="n"/>
      <c r="F23" s="18" t="n"/>
    </row>
    <row r="24">
      <c r="A24" s="16" t="inlineStr">
        <is>
          <t>2310</t>
        </is>
      </c>
      <c r="B24" s="16" t="inlineStr">
        <is>
          <t>เจ้าหนี้ระหว่างกัน (ในกองกลาง)</t>
        </is>
      </c>
      <c r="C24" s="16" t="inlineStr">
        <is>
          <t>หนี้สิน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3100</t>
        </is>
      </c>
      <c r="B25" s="16" t="inlineStr">
        <is>
          <t>ทุนตั้งต้น</t>
        </is>
      </c>
      <c r="C25" s="16" t="inlineStr">
        <is>
          <t>ส่วนของเจ้าของ</t>
        </is>
      </c>
      <c r="D25" s="16" t="inlineStr">
        <is>
          <t>ส่วนของเจ้าของ</t>
        </is>
      </c>
      <c r="E25" s="17" t="n"/>
      <c r="F25" s="18" t="n"/>
    </row>
    <row r="26">
      <c r="A26" s="16" t="inlineStr">
        <is>
          <t>3300</t>
        </is>
      </c>
      <c r="B26" s="16" t="inlineStr">
        <is>
          <t>กำไรสะสม</t>
        </is>
      </c>
      <c r="C26" s="16" t="inlineStr">
        <is>
          <t>ส่วนของเจ้าของ</t>
        </is>
      </c>
      <c r="D26" s="16" t="inlineStr">
        <is>
          <t>ส่วนของเจ้าของ</t>
        </is>
      </c>
      <c r="E26" s="17" t="n"/>
      <c r="F26" s="18" t="n"/>
    </row>
    <row r="28">
      <c r="A28" s="19" t="n"/>
      <c r="B28" s="20" t="inlineStr">
        <is>
          <t>รวมสินทรัพย์</t>
        </is>
      </c>
      <c r="C28" s="19" t="n"/>
      <c r="D28" s="19" t="n"/>
      <c r="E28" s="21">
        <f>SUM(E6,E7,E8,E9,E10,E11,E12,E13,E14,E15,E16,E17,E18)</f>
        <v/>
      </c>
      <c r="F28" s="19" t="n"/>
    </row>
    <row r="29">
      <c r="A29" s="19" t="n"/>
      <c r="B29" s="20" t="inlineStr">
        <is>
          <t>รวมหนี้สิน</t>
        </is>
      </c>
      <c r="C29" s="19" t="n"/>
      <c r="D29" s="19" t="n"/>
      <c r="E29" s="21">
        <f>SUM(E19,E20,E21,E22,E23,E24)</f>
        <v/>
      </c>
      <c r="F29" s="19" t="n"/>
    </row>
    <row r="30">
      <c r="A30" s="19" t="n"/>
      <c r="B30" s="20" t="inlineStr">
        <is>
          <t>รวมส่วนของเจ้าของ</t>
        </is>
      </c>
      <c r="C30" s="19" t="n"/>
      <c r="D30" s="19" t="n"/>
      <c r="E30" s="21">
        <f>SUM(E25,E26)</f>
        <v/>
      </c>
      <c r="F30" s="19" t="n"/>
    </row>
    <row r="32">
      <c r="A32" s="22" t="n"/>
      <c r="B32" s="23" t="inlineStr">
        <is>
          <t>ตรวจ: สินทรัพย์ − หนี้สิน − ส่วนของเจ้าของ</t>
        </is>
      </c>
      <c r="C32" s="22" t="n"/>
      <c r="D32" s="22" t="n"/>
      <c r="E32" s="24">
        <f>E28-E29-E30</f>
        <v/>
      </c>
      <c r="F3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35">
      <c r="B35" s="3" t="inlineStr">
        <is>
          <t>แยกยอดเงินสดตามบัญชี (ต้องรวมได้เท่าบรรทัด 1100)</t>
        </is>
      </c>
    </row>
    <row r="36">
      <c r="B3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37">
      <c r="B37" s="26" t="inlineStr">
        <is>
          <t>บัญชี</t>
        </is>
      </c>
      <c r="C37" s="26" t="inlineStr">
        <is>
          <t>ธนาคาร / ช่องทาง</t>
        </is>
      </c>
      <c r="D37" s="26" t="inlineStr">
        <is>
          <t>เลขท้าย</t>
        </is>
      </c>
      <c r="E37" s="27" t="inlineStr">
        <is>
          <t>ยอดตั้งต้น</t>
        </is>
      </c>
    </row>
    <row r="38">
      <c r="B38" s="28" t="inlineStr">
        <is>
          <t>เบ็ญจพร - BBL</t>
        </is>
      </c>
      <c r="C38" s="28" t="inlineStr">
        <is>
          <t>กรุงเทพ</t>
        </is>
      </c>
      <c r="D38" s="28" t="inlineStr">
        <is>
          <t>6045</t>
        </is>
      </c>
      <c r="E38" s="17" t="n"/>
    </row>
    <row r="39">
      <c r="B39" s="18" t="n"/>
      <c r="C39" s="22" t="n"/>
      <c r="D39" s="22" t="n"/>
      <c r="E39" s="29" t="n"/>
      <c r="F39" s="2" t="inlineStr">
        <is>
          <t>← บัญชีใหม่ที่ยังไม่มีในระบบ กรอกชื่อ+ธนาคาร+ยอด</t>
        </is>
      </c>
    </row>
    <row r="40">
      <c r="B40" s="18" t="n"/>
      <c r="C40" s="22" t="n"/>
      <c r="D40" s="22" t="n"/>
      <c r="E40" s="29" t="n"/>
      <c r="F40" s="2" t="inlineStr">
        <is>
          <t>← บัญชีใหม่ที่ยังไม่มีในระบบ กรอกชื่อ+ธนาคาร+ยอด</t>
        </is>
      </c>
    </row>
    <row r="41">
      <c r="B41" s="18" t="n"/>
      <c r="C41" s="22" t="n"/>
      <c r="D41" s="22" t="n"/>
      <c r="E41" s="29" t="n"/>
      <c r="F41" s="2" t="inlineStr">
        <is>
          <t>← บัญชีใหม่ที่ยังไม่มีในระบบ กรอกชื่อ+ธนาคาร+ยอด</t>
        </is>
      </c>
    </row>
    <row r="42">
      <c r="B42" s="18" t="n"/>
      <c r="C42" s="22" t="n"/>
      <c r="D42" s="22" t="n"/>
      <c r="E42" s="29" t="n"/>
      <c r="F42" s="2" t="inlineStr">
        <is>
          <t>← บัญชีใหม่ที่ยังไม่มีในระบบ กรอกชื่อ+ธนาคาร+ยอด</t>
        </is>
      </c>
    </row>
    <row r="43">
      <c r="B43" s="18" t="n"/>
      <c r="C43" s="22" t="n"/>
      <c r="D43" s="22" t="n"/>
      <c r="E43" s="29" t="n"/>
      <c r="F43" s="2" t="inlineStr">
        <is>
          <t>← บัญชีใหม่ที่ยังไม่มีในระบบ กรอกชื่อ+ธนาคาร+ยอด</t>
        </is>
      </c>
    </row>
    <row r="44">
      <c r="B44" s="18" t="n"/>
      <c r="C44" s="22" t="n"/>
      <c r="D44" s="22" t="n"/>
      <c r="E44" s="29" t="n"/>
      <c r="F44" s="2" t="inlineStr">
        <is>
          <t>← บัญชีใหม่ที่ยังไม่มีในระบบ กรอกชื่อ+ธนาคาร+ยอด</t>
        </is>
      </c>
    </row>
    <row r="45">
      <c r="B45" s="20" t="inlineStr">
        <is>
          <t>รวมเงินสด</t>
        </is>
      </c>
      <c r="C45" s="19" t="n"/>
      <c r="D45" s="19" t="n"/>
      <c r="E45" s="21">
        <f>SUM(E38:E44)</f>
        <v/>
      </c>
      <c r="F45" s="30" t="inlineStr">
        <is>
          <t>ต้องเท่ากับบรรทัด 1100 (แถว 6)</t>
        </is>
      </c>
    </row>
    <row r="46">
      <c r="B46" s="23" t="inlineStr">
        <is>
          <t>ตรวจ: ผลต่างกับบรรทัด 1100</t>
        </is>
      </c>
      <c r="C46" s="22" t="n"/>
      <c r="D46" s="22" t="n"/>
      <c r="E46" s="24">
        <f>E45-E6</f>
        <v/>
      </c>
    </row>
  </sheetData>
  <mergeCells count="2">
    <mergeCell ref="A2:F2"/>
    <mergeCell ref="A1:F1"/>
  </mergeCells>
  <conditionalFormatting sqref="E3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46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สุดจิตต์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1600</t>
        </is>
      </c>
      <c r="B9" s="16" t="inlineStr">
        <is>
          <t>เงินมัดจำจ่าย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1300</t>
        </is>
      </c>
      <c r="B10" s="16" t="inlineStr">
        <is>
          <t>เงินให้กู้ยืม - เงินต้น</t>
        </is>
      </c>
      <c r="C10" s="16" t="inlineStr">
        <is>
          <t>สินทรัพย์</t>
        </is>
      </c>
      <c r="D10" s="16" t="inlineStr">
        <is>
          <t>เงินให้กู้และลงทุนตามสัญญา</t>
        </is>
      </c>
      <c r="E10" s="17" t="n"/>
      <c r="F10" s="18" t="n"/>
    </row>
    <row r="11">
      <c r="A11" s="16" t="inlineStr">
        <is>
          <t>1400</t>
        </is>
      </c>
      <c r="B11" s="16" t="inlineStr">
        <is>
          <t>เงินลงทุนขายฝาก - เงินต้น</t>
        </is>
      </c>
      <c r="C11" s="16" t="inlineStr">
        <is>
          <t>สินทรัพย์</t>
        </is>
      </c>
      <c r="D11" s="16" t="inlineStr">
        <is>
          <t>เงินให้กู้และลงทุนตามสัญญา</t>
        </is>
      </c>
      <c r="E11" s="17" t="n"/>
      <c r="F11" s="18" t="n"/>
    </row>
    <row r="12">
      <c r="A12" s="16" t="inlineStr">
        <is>
          <t>1410</t>
        </is>
      </c>
      <c r="B12" s="16" t="inlineStr">
        <is>
          <t>เงินลงทุนจำนอง - เงินต้น</t>
        </is>
      </c>
      <c r="C12" s="16" t="inlineStr">
        <is>
          <t>สินทรัพย์</t>
        </is>
      </c>
      <c r="D12" s="16" t="inlineStr">
        <is>
          <t>เงินให้กู้และลงทุนตามสัญญา</t>
        </is>
      </c>
      <c r="E12" s="17" t="n"/>
      <c r="F12" s="18" t="n"/>
    </row>
    <row r="13">
      <c r="A13" s="16" t="inlineStr">
        <is>
          <t>1500</t>
        </is>
      </c>
      <c r="B13" s="16" t="inlineStr">
        <is>
          <t>อสังหาริมทรัพย์เพื่อการลงทุน</t>
        </is>
      </c>
      <c r="C13" s="16" t="inlineStr">
        <is>
          <t>สินทรัพย์</t>
        </is>
      </c>
      <c r="D13" s="16" t="inlineStr">
        <is>
          <t>อสังหาริมทรัพย์เพื่อการลงทุน</t>
        </is>
      </c>
      <c r="E13" s="17" t="n"/>
      <c r="F13" s="18" t="n"/>
    </row>
    <row r="14">
      <c r="A14" s="16" t="inlineStr">
        <is>
          <t>1510</t>
        </is>
      </c>
      <c r="B14" s="16" t="inlineStr">
        <is>
          <t>ค่ารีโนเวท (บันทึกเป็นทุน)</t>
        </is>
      </c>
      <c r="C14" s="16" t="inlineStr">
        <is>
          <t>สินทรัพย์</t>
        </is>
      </c>
      <c r="D14" s="16" t="inlineStr">
        <is>
          <t>อสังหาริมทรัพย์เพื่อการลงทุน</t>
        </is>
      </c>
      <c r="E14" s="17" t="n"/>
      <c r="F14" s="18" t="n"/>
    </row>
    <row r="15">
      <c r="A15" s="16" t="inlineStr">
        <is>
          <t>1700</t>
        </is>
      </c>
      <c r="B15" s="16" t="inlineStr">
        <is>
          <t>เงินลงทุนในหลักทรัพย์</t>
        </is>
      </c>
      <c r="C15" s="16" t="inlineStr">
        <is>
          <t>สินทรัพย์</t>
        </is>
      </c>
      <c r="D15" s="16" t="inlineStr">
        <is>
          <t>เงินลงทุน</t>
        </is>
      </c>
      <c r="E15" s="17" t="n"/>
      <c r="F15" s="18" t="n"/>
    </row>
    <row r="16">
      <c r="A16" s="16" t="inlineStr">
        <is>
          <t>1720</t>
        </is>
      </c>
      <c r="B16" s="16" t="inlineStr">
        <is>
          <t>เงินลงทุนในทองคำและสินทรัพย์ทางเลือก</t>
        </is>
      </c>
      <c r="C16" s="16" t="inlineStr">
        <is>
          <t>สินทรัพย์</t>
        </is>
      </c>
      <c r="D16" s="16" t="inlineStr">
        <is>
          <t>เงินลงทุน</t>
        </is>
      </c>
      <c r="E16" s="17" t="n"/>
      <c r="F16" s="18" t="n"/>
    </row>
    <row r="17">
      <c r="A17" s="16" t="inlineStr">
        <is>
          <t>1710</t>
        </is>
      </c>
      <c r="B17" s="16" t="inlineStr">
        <is>
          <t>เงินลงทุนในบริษัทในเครือ</t>
        </is>
      </c>
      <c r="C17" s="16" t="inlineStr">
        <is>
          <t>สินทรัพย์</t>
        </is>
      </c>
      <c r="D17" s="16" t="inlineStr">
        <is>
          <t>เงินลงทุน</t>
        </is>
      </c>
      <c r="E17" s="17" t="n"/>
      <c r="F17" s="18" t="n"/>
    </row>
    <row r="18">
      <c r="A18" s="16" t="inlineStr">
        <is>
          <t>1310</t>
        </is>
      </c>
      <c r="B18" s="16" t="inlineStr">
        <is>
          <t>ลูกหนี้ระหว่างกัน (ในกองกลาง)</t>
        </is>
      </c>
      <c r="C18" s="16" t="inlineStr">
        <is>
          <t>สินทรัพย์</t>
        </is>
      </c>
      <c r="D18" s="16" t="inlineStr">
        <is>
          <t>รายการระหว่างกัน (ตัดออกในงบรวม)</t>
        </is>
      </c>
      <c r="E18" s="17" t="n"/>
      <c r="F18" s="18" t="n"/>
    </row>
    <row r="19">
      <c r="A19" s="16" t="inlineStr">
        <is>
          <t>2100</t>
        </is>
      </c>
      <c r="B19" s="16" t="inlineStr">
        <is>
          <t>เจ้าหนี้การค้า-เจ้าหนี้อื่น</t>
        </is>
      </c>
      <c r="C19" s="16" t="inlineStr">
        <is>
          <t>หนี้สิน</t>
        </is>
      </c>
      <c r="D19" s="16" t="inlineStr">
        <is>
          <t>หนี้สินหมุนเวียน</t>
        </is>
      </c>
      <c r="E19" s="17" t="n"/>
      <c r="F19" s="18" t="n"/>
    </row>
    <row r="20">
      <c r="A20" s="16" t="inlineStr">
        <is>
          <t>2200</t>
        </is>
      </c>
      <c r="B20" s="16" t="inlineStr">
        <is>
          <t>เงินมัดจำรับจากผู้เช่า</t>
        </is>
      </c>
      <c r="C20" s="16" t="inlineStr">
        <is>
          <t>หนี้สิน</t>
        </is>
      </c>
      <c r="D20" s="16" t="inlineStr">
        <is>
          <t>หนี้สินหมุนเวียน</t>
        </is>
      </c>
      <c r="E20" s="17" t="n"/>
      <c r="F20" s="18" t="n"/>
    </row>
    <row r="21">
      <c r="A21" s="16" t="inlineStr">
        <is>
          <t>2410</t>
        </is>
      </c>
      <c r="B21" s="16" t="inlineStr">
        <is>
          <t>เงินกู้ธนาคาร</t>
        </is>
      </c>
      <c r="C21" s="16" t="inlineStr">
        <is>
          <t>หนี้สิน</t>
        </is>
      </c>
      <c r="D21" s="16" t="inlineStr">
        <is>
          <t>เงินกู้</t>
        </is>
      </c>
      <c r="E21" s="17" t="n"/>
      <c r="F21" s="18" t="n"/>
    </row>
    <row r="22">
      <c r="A22" s="16" t="inlineStr">
        <is>
          <t>2300</t>
        </is>
      </c>
      <c r="B22" s="16" t="inlineStr">
        <is>
          <t>เงินกู้ยืมกรรมการ</t>
        </is>
      </c>
      <c r="C22" s="16" t="inlineStr">
        <is>
          <t>หนี้สิน</t>
        </is>
      </c>
      <c r="D22" s="16" t="inlineStr">
        <is>
          <t>เงินกู้</t>
        </is>
      </c>
      <c r="E22" s="17" t="n"/>
      <c r="F22" s="18" t="n"/>
    </row>
    <row r="23">
      <c r="A23" s="16" t="inlineStr">
        <is>
          <t>2400</t>
        </is>
      </c>
      <c r="B23" s="16" t="inlineStr">
        <is>
          <t>เงินกู้ยืมอื่น</t>
        </is>
      </c>
      <c r="C23" s="16" t="inlineStr">
        <is>
          <t>หนี้สิน</t>
        </is>
      </c>
      <c r="D23" s="16" t="inlineStr">
        <is>
          <t>เงินกู้</t>
        </is>
      </c>
      <c r="E23" s="17" t="n"/>
      <c r="F23" s="18" t="n"/>
    </row>
    <row r="24">
      <c r="A24" s="16" t="inlineStr">
        <is>
          <t>2310</t>
        </is>
      </c>
      <c r="B24" s="16" t="inlineStr">
        <is>
          <t>เจ้าหนี้ระหว่างกัน (ในกองกลาง)</t>
        </is>
      </c>
      <c r="C24" s="16" t="inlineStr">
        <is>
          <t>หนี้สิน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3100</t>
        </is>
      </c>
      <c r="B25" s="16" t="inlineStr">
        <is>
          <t>ทุนตั้งต้น</t>
        </is>
      </c>
      <c r="C25" s="16" t="inlineStr">
        <is>
          <t>ส่วนของเจ้าของ</t>
        </is>
      </c>
      <c r="D25" s="16" t="inlineStr">
        <is>
          <t>ส่วนของเจ้าของ</t>
        </is>
      </c>
      <c r="E25" s="17" t="n"/>
      <c r="F25" s="18" t="n"/>
    </row>
    <row r="26">
      <c r="A26" s="16" t="inlineStr">
        <is>
          <t>3300</t>
        </is>
      </c>
      <c r="B26" s="16" t="inlineStr">
        <is>
          <t>กำไรสะสม</t>
        </is>
      </c>
      <c r="C26" s="16" t="inlineStr">
        <is>
          <t>ส่วนของเจ้าของ</t>
        </is>
      </c>
      <c r="D26" s="16" t="inlineStr">
        <is>
          <t>ส่วนของเจ้าของ</t>
        </is>
      </c>
      <c r="E26" s="17" t="n"/>
      <c r="F26" s="18" t="n"/>
    </row>
    <row r="28">
      <c r="A28" s="19" t="n"/>
      <c r="B28" s="20" t="inlineStr">
        <is>
          <t>รวมสินทรัพย์</t>
        </is>
      </c>
      <c r="C28" s="19" t="n"/>
      <c r="D28" s="19" t="n"/>
      <c r="E28" s="21">
        <f>SUM(E6,E7,E8,E9,E10,E11,E12,E13,E14,E15,E16,E17,E18)</f>
        <v/>
      </c>
      <c r="F28" s="19" t="n"/>
    </row>
    <row r="29">
      <c r="A29" s="19" t="n"/>
      <c r="B29" s="20" t="inlineStr">
        <is>
          <t>รวมหนี้สิน</t>
        </is>
      </c>
      <c r="C29" s="19" t="n"/>
      <c r="D29" s="19" t="n"/>
      <c r="E29" s="21">
        <f>SUM(E19,E20,E21,E22,E23,E24)</f>
        <v/>
      </c>
      <c r="F29" s="19" t="n"/>
    </row>
    <row r="30">
      <c r="A30" s="19" t="n"/>
      <c r="B30" s="20" t="inlineStr">
        <is>
          <t>รวมส่วนของเจ้าของ</t>
        </is>
      </c>
      <c r="C30" s="19" t="n"/>
      <c r="D30" s="19" t="n"/>
      <c r="E30" s="21">
        <f>SUM(E25,E26)</f>
        <v/>
      </c>
      <c r="F30" s="19" t="n"/>
    </row>
    <row r="32">
      <c r="A32" s="22" t="n"/>
      <c r="B32" s="23" t="inlineStr">
        <is>
          <t>ตรวจ: สินทรัพย์ − หนี้สิน − ส่วนของเจ้าของ</t>
        </is>
      </c>
      <c r="C32" s="22" t="n"/>
      <c r="D32" s="22" t="n"/>
      <c r="E32" s="24">
        <f>E28-E29-E30</f>
        <v/>
      </c>
      <c r="F3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35">
      <c r="B35" s="3" t="inlineStr">
        <is>
          <t>แยกยอดเงินสดตามบัญชี (ต้องรวมได้เท่าบรรทัด 1100)</t>
        </is>
      </c>
    </row>
    <row r="36">
      <c r="B3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37">
      <c r="B37" s="26" t="inlineStr">
        <is>
          <t>บัญชี</t>
        </is>
      </c>
      <c r="C37" s="26" t="inlineStr">
        <is>
          <t>ธนาคาร / ช่องทาง</t>
        </is>
      </c>
      <c r="D37" s="26" t="inlineStr">
        <is>
          <t>เลขท้าย</t>
        </is>
      </c>
      <c r="E37" s="27" t="inlineStr">
        <is>
          <t>ยอดตั้งต้น</t>
        </is>
      </c>
    </row>
    <row r="38">
      <c r="B38" s="28" t="inlineStr">
        <is>
          <t>สุดจิตต์ - BAY</t>
        </is>
      </c>
      <c r="C38" s="28" t="inlineStr">
        <is>
          <t>กรุงศรีอยุธยา</t>
        </is>
      </c>
      <c r="D38" s="28" t="inlineStr">
        <is>
          <t>7702</t>
        </is>
      </c>
      <c r="E38" s="17" t="n"/>
    </row>
    <row r="39">
      <c r="B39" s="18" t="n"/>
      <c r="C39" s="22" t="n"/>
      <c r="D39" s="22" t="n"/>
      <c r="E39" s="29" t="n"/>
      <c r="F39" s="2" t="inlineStr">
        <is>
          <t>← บัญชีใหม่ที่ยังไม่มีในระบบ กรอกชื่อ+ธนาคาร+ยอด</t>
        </is>
      </c>
    </row>
    <row r="40">
      <c r="B40" s="18" t="n"/>
      <c r="C40" s="22" t="n"/>
      <c r="D40" s="22" t="n"/>
      <c r="E40" s="29" t="n"/>
      <c r="F40" s="2" t="inlineStr">
        <is>
          <t>← บัญชีใหม่ที่ยังไม่มีในระบบ กรอกชื่อ+ธนาคาร+ยอด</t>
        </is>
      </c>
    </row>
    <row r="41">
      <c r="B41" s="18" t="n"/>
      <c r="C41" s="22" t="n"/>
      <c r="D41" s="22" t="n"/>
      <c r="E41" s="29" t="n"/>
      <c r="F41" s="2" t="inlineStr">
        <is>
          <t>← บัญชีใหม่ที่ยังไม่มีในระบบ กรอกชื่อ+ธนาคาร+ยอด</t>
        </is>
      </c>
    </row>
    <row r="42">
      <c r="B42" s="18" t="n"/>
      <c r="C42" s="22" t="n"/>
      <c r="D42" s="22" t="n"/>
      <c r="E42" s="29" t="n"/>
      <c r="F42" s="2" t="inlineStr">
        <is>
          <t>← บัญชีใหม่ที่ยังไม่มีในระบบ กรอกชื่อ+ธนาคาร+ยอด</t>
        </is>
      </c>
    </row>
    <row r="43">
      <c r="B43" s="18" t="n"/>
      <c r="C43" s="22" t="n"/>
      <c r="D43" s="22" t="n"/>
      <c r="E43" s="29" t="n"/>
      <c r="F43" s="2" t="inlineStr">
        <is>
          <t>← บัญชีใหม่ที่ยังไม่มีในระบบ กรอกชื่อ+ธนาคาร+ยอด</t>
        </is>
      </c>
    </row>
    <row r="44">
      <c r="B44" s="18" t="n"/>
      <c r="C44" s="22" t="n"/>
      <c r="D44" s="22" t="n"/>
      <c r="E44" s="29" t="n"/>
      <c r="F44" s="2" t="inlineStr">
        <is>
          <t>← บัญชีใหม่ที่ยังไม่มีในระบบ กรอกชื่อ+ธนาคาร+ยอด</t>
        </is>
      </c>
    </row>
    <row r="45">
      <c r="B45" s="20" t="inlineStr">
        <is>
          <t>รวมเงินสด</t>
        </is>
      </c>
      <c r="C45" s="19" t="n"/>
      <c r="D45" s="19" t="n"/>
      <c r="E45" s="21">
        <f>SUM(E38:E44)</f>
        <v/>
      </c>
      <c r="F45" s="30" t="inlineStr">
        <is>
          <t>ต้องเท่ากับบรรทัด 1100 (แถว 6)</t>
        </is>
      </c>
    </row>
    <row r="46">
      <c r="B46" s="23" t="inlineStr">
        <is>
          <t>ตรวจ: ผลต่างกับบรรทัด 1100</t>
        </is>
      </c>
      <c r="C46" s="22" t="n"/>
      <c r="D46" s="22" t="n"/>
      <c r="E46" s="24">
        <f>E45-E6</f>
        <v/>
      </c>
    </row>
  </sheetData>
  <mergeCells count="2">
    <mergeCell ref="A2:F2"/>
    <mergeCell ref="A1:F1"/>
  </mergeCells>
  <conditionalFormatting sqref="E3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46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0" t="inlineStr">
        <is>
          <t>รวมทุกผู้ถือ — SRI Family (รวมทุกชื่อ)</t>
        </is>
      </c>
    </row>
    <row r="2" ht="34" customHeight="1">
      <c r="A2" s="11" t="inlineStr">
        <is>
          <t>คำนวณจากชีทของแต่ละผู้ถือ ไม่ต้องกรอก · ใช้ตรวจว่ายอดรวมกองกลางตรงกับที่ลูกพี่รู้</t>
        </is>
      </c>
    </row>
    <row r="4" ht="30" customHeight="1">
      <c r="A4" s="12" t="inlineStr">
        <is>
          <t>บัญชี</t>
        </is>
      </c>
      <c r="B4" s="12" t="inlineStr">
        <is>
          <t>SRI Corporation</t>
        </is>
      </c>
      <c r="C4" s="12" t="inlineStr">
        <is>
          <t>สุธี</t>
        </is>
      </c>
      <c r="D4" s="12" t="inlineStr">
        <is>
          <t>ธนากร</t>
        </is>
      </c>
      <c r="E4" s="12" t="inlineStr">
        <is>
          <t>ธนวินท์</t>
        </is>
      </c>
      <c r="F4" s="12" t="inlineStr">
        <is>
          <t>เบ็ญจพร</t>
        </is>
      </c>
      <c r="G4" s="12" t="inlineStr">
        <is>
          <t>สุดจิตต์</t>
        </is>
      </c>
      <c r="H4" s="12" t="inlineStr">
        <is>
          <t>รวม</t>
        </is>
      </c>
    </row>
    <row r="5" ht="32" customHeight="1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</row>
    <row r="6">
      <c r="A6" s="23" t="inlineStr">
        <is>
          <t>รวมสินทรัพย์</t>
        </is>
      </c>
      <c r="B6" s="17">
        <f>'BS-SRI Corporation'!E28</f>
        <v/>
      </c>
      <c r="C6" s="17">
        <f>'BS-สุธี'!E28</f>
        <v/>
      </c>
      <c r="D6" s="17">
        <f>'BS-ธนากร'!E28</f>
        <v/>
      </c>
      <c r="E6" s="17">
        <f>'BS-ธนวินท์'!E28</f>
        <v/>
      </c>
      <c r="F6" s="17">
        <f>'BS-เบ็ญจพร'!E28</f>
        <v/>
      </c>
      <c r="G6" s="17">
        <f>'BS-สุดจิตต์'!E28</f>
        <v/>
      </c>
      <c r="H6" s="24">
        <f>SUM(B6:G6)</f>
        <v/>
      </c>
    </row>
    <row r="7">
      <c r="A7" s="23" t="inlineStr">
        <is>
          <t>รวมหนี้สิน</t>
        </is>
      </c>
      <c r="B7" s="17">
        <f>'BS-SRI Corporation'!E29</f>
        <v/>
      </c>
      <c r="C7" s="17">
        <f>'BS-สุธี'!E29</f>
        <v/>
      </c>
      <c r="D7" s="17">
        <f>'BS-ธนากร'!E29</f>
        <v/>
      </c>
      <c r="E7" s="17">
        <f>'BS-ธนวินท์'!E29</f>
        <v/>
      </c>
      <c r="F7" s="17">
        <f>'BS-เบ็ญจพร'!E29</f>
        <v/>
      </c>
      <c r="G7" s="17">
        <f>'BS-สุดจิตต์'!E29</f>
        <v/>
      </c>
      <c r="H7" s="24">
        <f>SUM(B7:G7)</f>
        <v/>
      </c>
    </row>
    <row r="8">
      <c r="A8" s="23" t="inlineStr">
        <is>
          <t>รวมส่วนของเจ้าของ</t>
        </is>
      </c>
      <c r="B8" s="17">
        <f>'BS-SRI Corporation'!E30</f>
        <v/>
      </c>
      <c r="C8" s="17">
        <f>'BS-สุธี'!E30</f>
        <v/>
      </c>
      <c r="D8" s="17">
        <f>'BS-ธนากร'!E30</f>
        <v/>
      </c>
      <c r="E8" s="17">
        <f>'BS-ธนวินท์'!E30</f>
        <v/>
      </c>
      <c r="F8" s="17">
        <f>'BS-เบ็ญจพร'!E30</f>
        <v/>
      </c>
      <c r="G8" s="17">
        <f>'BS-สุดจิตต์'!E30</f>
        <v/>
      </c>
      <c r="H8" s="24">
        <f>SUM(B8:G8)</f>
        <v/>
      </c>
    </row>
    <row r="10">
      <c r="A10" s="31" t="inlineStr">
        <is>
          <t>ตรวจ: ทุกชีทลงตัวหรือยัง</t>
        </is>
      </c>
      <c r="B10" s="24">
        <f>'BS-SRI Corporation'!E32</f>
        <v/>
      </c>
      <c r="C10" s="24">
        <f>'BS-สุธี'!E32</f>
        <v/>
      </c>
      <c r="D10" s="24">
        <f>'BS-ธนากร'!E32</f>
        <v/>
      </c>
      <c r="E10" s="24">
        <f>'BS-ธนวินท์'!E32</f>
        <v/>
      </c>
      <c r="F10" s="24">
        <f>'BS-เบ็ญจพร'!E32</f>
        <v/>
      </c>
      <c r="G10" s="24">
        <f>'BS-สุดจิตต์'!E32</f>
        <v/>
      </c>
    </row>
    <row r="12">
      <c r="A12" s="3" t="inlineStr">
        <is>
          <t>รายการระหว่างกัน — ต้องหักกลบกันได้พอดี</t>
        </is>
      </c>
    </row>
    <row r="13">
      <c r="A13" s="18" t="inlineStr">
        <is>
          <t>รวมลูกหนี้ระหว่างกัน (1310)</t>
        </is>
      </c>
      <c r="B13" s="17">
        <f>'BS-SRI Corporation'!E18</f>
        <v/>
      </c>
      <c r="C13" s="17">
        <f>'BS-สุธี'!E18</f>
        <v/>
      </c>
      <c r="D13" s="17">
        <f>'BS-ธนากร'!E18</f>
        <v/>
      </c>
      <c r="E13" s="17">
        <f>'BS-ธนวินท์'!E18</f>
        <v/>
      </c>
      <c r="F13" s="17">
        <f>'BS-เบ็ญจพร'!E18</f>
        <v/>
      </c>
      <c r="G13" s="17">
        <f>'BS-สุดจิตต์'!E18</f>
        <v/>
      </c>
      <c r="H13" s="24">
        <f>SUM(B13:G13)</f>
        <v/>
      </c>
    </row>
    <row r="14">
      <c r="A14" s="18" t="inlineStr">
        <is>
          <t>รวมเจ้าหนี้ระหว่างกัน (2310)</t>
        </is>
      </c>
      <c r="B14" s="17">
        <f>'BS-SRI Corporation'!E24</f>
        <v/>
      </c>
      <c r="C14" s="17">
        <f>'BS-สุธี'!E24</f>
        <v/>
      </c>
      <c r="D14" s="17">
        <f>'BS-ธนากร'!E24</f>
        <v/>
      </c>
      <c r="E14" s="17">
        <f>'BS-ธนวินท์'!E24</f>
        <v/>
      </c>
      <c r="F14" s="17">
        <f>'BS-เบ็ญจพร'!E24</f>
        <v/>
      </c>
      <c r="G14" s="17">
        <f>'BS-สุดจิตต์'!E24</f>
        <v/>
      </c>
      <c r="H14" s="24">
        <f>SUM(B14:G14)</f>
        <v/>
      </c>
    </row>
    <row r="15">
      <c r="A15" s="23" t="inlineStr">
        <is>
          <t>ตรวจ: ลูกหนี้ − เจ้าหนี้ ระหว่างกัน</t>
        </is>
      </c>
      <c r="H15" s="24">
        <f>H13-H14</f>
        <v/>
      </c>
    </row>
    <row r="17">
      <c r="A17" s="32" t="inlineStr">
        <is>
          <t>ถ้าช่องตรวจไม่เป็น 0 แปลว่ามีฝ่ายเดียวที่บันทึก — อีกฝ่ายลืมบันทึกหรือใส่ยอดไม่ตรง</t>
        </is>
      </c>
    </row>
    <row r="18">
      <c r="A18" s="32" t="inlineStr">
        <is>
          <t>งบรวมจะตัดสองบัญชีนี้ออก ยอดกองกลางจึงต้องไม่เปลี่ยนเพราะรายการระหว่างกัน</t>
        </is>
      </c>
    </row>
  </sheetData>
  <mergeCells count="4">
    <mergeCell ref="A1:I1"/>
    <mergeCell ref="A18:H18"/>
    <mergeCell ref="A2:I2"/>
    <mergeCell ref="A17:H17"/>
  </mergeCells>
  <conditionalFormatting sqref="B10">
    <cfRule type="cellIs" priority="1" operator="equal" dxfId="2">
      <formula>0</formula>
    </cfRule>
    <cfRule type="cellIs" priority="2" operator="notEqual" dxfId="3">
      <formula>0</formula>
    </cfRule>
  </conditionalFormatting>
  <conditionalFormatting sqref="C10">
    <cfRule type="cellIs" priority="3" operator="equal" dxfId="2">
      <formula>0</formula>
    </cfRule>
    <cfRule type="cellIs" priority="4" operator="notEqual" dxfId="3">
      <formula>0</formula>
    </cfRule>
  </conditionalFormatting>
  <conditionalFormatting sqref="D10">
    <cfRule type="cellIs" priority="5" operator="equal" dxfId="2">
      <formula>0</formula>
    </cfRule>
    <cfRule type="cellIs" priority="6" operator="notEqual" dxfId="3">
      <formula>0</formula>
    </cfRule>
  </conditionalFormatting>
  <conditionalFormatting sqref="E10">
    <cfRule type="cellIs" priority="7" operator="equal" dxfId="2">
      <formula>0</formula>
    </cfRule>
    <cfRule type="cellIs" priority="8" operator="notEqual" dxfId="3">
      <formula>0</formula>
    </cfRule>
  </conditionalFormatting>
  <conditionalFormatting sqref="F10">
    <cfRule type="cellIs" priority="9" operator="equal" dxfId="2">
      <formula>0</formula>
    </cfRule>
    <cfRule type="cellIs" priority="10" operator="notEqual" dxfId="3">
      <formula>0</formula>
    </cfRule>
  </conditionalFormatting>
  <conditionalFormatting sqref="G10">
    <cfRule type="cellIs" priority="11" operator="equal" dxfId="2">
      <formula>0</formula>
    </cfRule>
    <cfRule type="cellIs" priority="12" operator="notEqual" dxfId="3">
      <formula>0</formula>
    </cfRule>
  </conditionalFormatting>
  <conditionalFormatting sqref="H15">
    <cfRule type="cellIs" priority="13" operator="equal" dxfId="2">
      <formula>0</formula>
    </cfRule>
    <cfRule type="cellIs" priority="14" operator="notEqual" dxfId="3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5" customWidth="1" min="6" max="6"/>
    <col width="16" customWidth="1" min="7" max="7"/>
    <col width="18" customWidth="1" min="8" max="8"/>
    <col width="11" customWidth="1" min="9" max="9"/>
  </cols>
  <sheetData>
    <row r="1">
      <c r="A1" s="10" t="inlineStr">
        <is>
          <t>พอร์ตหลักทรัพย์ — กรอกทีละล็อต (FIFO)</t>
        </is>
      </c>
    </row>
    <row r="2" ht="34" customHeight="1">
      <c r="A2" s="11" t="inlineStr">
        <is>
          <t>ลูกพี่เลือก FIFO จึงต้องรู้ว่าล็อตไหนซื้อก่อน · กรอกทุกล็อตที่ยังถืออยู่ ณ วันตัดยอด · ยอดรวม 'ต้นทุนรวม' ของแต่ละผู้ถือ ต้องเท่ากับบรรทัด 1700 ในชีทของผู้ถือคนนั้น</t>
        </is>
      </c>
    </row>
    <row r="4" ht="30" customHeight="1">
      <c r="A4" s="13" t="inlineStr">
        <is>
          <t>ถือในชื่อ *</t>
        </is>
      </c>
      <c r="B4" s="13" t="inlineStr">
        <is>
          <t>ประเภท *</t>
        </is>
      </c>
      <c r="C4" s="13" t="inlineStr">
        <is>
          <t>ชื่อ/รหัส *</t>
        </is>
      </c>
      <c r="D4" s="13" t="inlineStr">
        <is>
          <t>วันที่ซื้อ *</t>
        </is>
      </c>
      <c r="E4" s="13" t="inlineStr">
        <is>
          <t>จำนวนหน่วย *</t>
        </is>
      </c>
      <c r="F4" s="13" t="inlineStr">
        <is>
          <t>ราคาต่อหน่วย *</t>
        </is>
      </c>
      <c r="G4" s="14" t="inlineStr">
        <is>
          <t>ค่าธรรมเนียมซื้อ</t>
        </is>
      </c>
      <c r="H4" s="12" t="inlineStr">
        <is>
          <t>ต้นทุนรวม</t>
        </is>
      </c>
      <c r="I4" s="13" t="inlineStr">
        <is>
          <t>สกุลเงิน *</t>
        </is>
      </c>
    </row>
    <row r="5" ht="32" customHeight="1">
      <c r="A5" s="15" t="inlineStr">
        <is>
          <t>ต้องตรงกับชื่อชีทผู้ถือ</t>
        </is>
      </c>
      <c r="B5" s="15" t="inlineStr">
        <is>
          <t>หุ้นไทย / หุ้น US / ETF / กองทุน / Crypto / ทองคำ / พันธบัตร</t>
        </is>
      </c>
      <c r="C5" s="15" t="inlineStr">
        <is>
          <t>เช่น PTT, VOO, BTC</t>
        </is>
      </c>
      <c r="D5" s="15" t="inlineStr">
        <is>
          <t>FIFO ใช้วันนี้เรียงลำดับ — ถ้าไม่มีวันที่ คำนวณ FIFO ไม่ได้</t>
        </is>
      </c>
      <c r="E5" s="15" t="inlineStr">
        <is>
          <t>ที่ยังถืออยู่ในล็อตนี้ ณ วันตัดยอด</t>
        </is>
      </c>
      <c r="F5" s="15" t="inlineStr">
        <is>
          <t>ราคาที่ซื้อจริงของล็อตนี้ ไม่ใช่ราคาเฉลี่ย</t>
        </is>
      </c>
      <c r="G5" s="15" t="inlineStr">
        <is>
          <t>รวมเป็นต้นทุน ถ้ามี</t>
        </is>
      </c>
      <c r="H5" s="15" t="inlineStr">
        <is>
          <t>คำนวณให้ = จำนวน × ราคา + ค่าธรรมเนียม</t>
        </is>
      </c>
      <c r="I5" s="15" t="inlineStr">
        <is>
          <t>THB / USD</t>
        </is>
      </c>
    </row>
    <row r="6">
      <c r="A6" t="inlineStr">
        <is>
          <t>ธนากร</t>
        </is>
      </c>
      <c r="B6" t="inlineStr">
        <is>
          <t>หุ้นไทย</t>
        </is>
      </c>
      <c r="C6" t="inlineStr">
        <is>
          <t>PTT</t>
        </is>
      </c>
      <c r="D6" s="35" t="n">
        <v>45719</v>
      </c>
      <c r="E6" s="33" t="n">
        <v>2000</v>
      </c>
      <c r="F6" s="33" t="n">
        <v>35</v>
      </c>
      <c r="G6" s="33" t="n"/>
      <c r="H6" s="34">
        <f>IF(E6="","",E6*F6+N(G6))</f>
        <v/>
      </c>
      <c r="I6" t="inlineStr">
        <is>
          <t>THB</t>
        </is>
      </c>
    </row>
    <row r="7">
      <c r="A7" t="inlineStr">
        <is>
          <t>ธนากร</t>
        </is>
      </c>
      <c r="B7" t="inlineStr">
        <is>
          <t>ETF</t>
        </is>
      </c>
      <c r="C7" t="inlineStr">
        <is>
          <t>SET50</t>
        </is>
      </c>
      <c r="D7" s="35" t="n">
        <v>45810</v>
      </c>
      <c r="E7" s="33" t="n">
        <v>100</v>
      </c>
      <c r="F7" s="33" t="n">
        <v>1000</v>
      </c>
      <c r="G7" s="33" t="n"/>
      <c r="H7" s="34">
        <f>IF(E7="","",E7*F7+N(G7))</f>
        <v/>
      </c>
      <c r="I7" t="inlineStr">
        <is>
          <t>THB</t>
        </is>
      </c>
    </row>
    <row r="8">
      <c r="A8" t="inlineStr">
        <is>
          <t>ธนากร</t>
        </is>
      </c>
      <c r="B8" t="inlineStr">
        <is>
          <t>กองทุน</t>
        </is>
      </c>
      <c r="C8" t="inlineStr">
        <is>
          <t>K-FIXED</t>
        </is>
      </c>
      <c r="D8" s="35" t="n">
        <v>45901</v>
      </c>
      <c r="E8" s="33" t="n">
        <v>1299</v>
      </c>
      <c r="F8" s="33" t="n">
        <v>100</v>
      </c>
      <c r="G8" s="33" t="n">
        <v>100</v>
      </c>
      <c r="H8" s="34">
        <f>IF(E8="","",E8*F8+N(G8))</f>
        <v/>
      </c>
      <c r="I8" t="inlineStr">
        <is>
          <t>THB</t>
        </is>
      </c>
    </row>
    <row r="9">
      <c r="E9" s="33" t="n"/>
      <c r="F9" s="33" t="n"/>
      <c r="G9" s="33" t="n"/>
      <c r="H9" s="34">
        <f>IF(E9="","",E9*F9+N(G9))</f>
        <v/>
      </c>
    </row>
    <row r="10">
      <c r="E10" s="33" t="n"/>
      <c r="F10" s="33" t="n"/>
      <c r="G10" s="33" t="n"/>
      <c r="H10" s="34">
        <f>IF(E10="","",E10*F10+N(G10))</f>
        <v/>
      </c>
    </row>
    <row r="11">
      <c r="E11" s="33" t="n"/>
      <c r="F11" s="33" t="n"/>
      <c r="G11" s="33" t="n"/>
      <c r="H11" s="34">
        <f>IF(E11="","",E11*F11+N(G11))</f>
        <v/>
      </c>
    </row>
    <row r="12">
      <c r="E12" s="33" t="n"/>
      <c r="F12" s="33" t="n"/>
      <c r="G12" s="33" t="n"/>
      <c r="H12" s="34">
        <f>IF(E12="","",E12*F12+N(G12))</f>
        <v/>
      </c>
    </row>
    <row r="13">
      <c r="E13" s="33" t="n"/>
      <c r="F13" s="33" t="n"/>
      <c r="G13" s="33" t="n"/>
      <c r="H13" s="34">
        <f>IF(E13="","",E13*F13+N(G13))</f>
        <v/>
      </c>
    </row>
    <row r="14">
      <c r="E14" s="33" t="n"/>
      <c r="F14" s="33" t="n"/>
      <c r="G14" s="33" t="n"/>
      <c r="H14" s="34">
        <f>IF(E14="","",E14*F14+N(G14))</f>
        <v/>
      </c>
    </row>
    <row r="15">
      <c r="E15" s="33" t="n"/>
      <c r="F15" s="33" t="n"/>
      <c r="G15" s="33" t="n"/>
      <c r="H15" s="34">
        <f>IF(E15="","",E15*F15+N(G15))</f>
        <v/>
      </c>
    </row>
    <row r="16">
      <c r="E16" s="33" t="n"/>
      <c r="F16" s="33" t="n"/>
      <c r="G16" s="33" t="n"/>
      <c r="H16" s="34">
        <f>IF(E16="","",E16*F16+N(G16))</f>
        <v/>
      </c>
    </row>
    <row r="17">
      <c r="E17" s="33" t="n"/>
      <c r="F17" s="33" t="n"/>
      <c r="G17" s="33" t="n"/>
      <c r="H17" s="34">
        <f>IF(E17="","",E17*F17+N(G17))</f>
        <v/>
      </c>
    </row>
    <row r="18">
      <c r="E18" s="33" t="n"/>
      <c r="F18" s="33" t="n"/>
      <c r="G18" s="33" t="n"/>
      <c r="H18" s="34">
        <f>IF(E18="","",E18*F18+N(G18))</f>
        <v/>
      </c>
    </row>
    <row r="19">
      <c r="E19" s="33" t="n"/>
      <c r="F19" s="33" t="n"/>
      <c r="G19" s="33" t="n"/>
      <c r="H19" s="34">
        <f>IF(E19="","",E19*F19+N(G19))</f>
        <v/>
      </c>
    </row>
    <row r="20">
      <c r="E20" s="33" t="n"/>
      <c r="F20" s="33" t="n"/>
      <c r="G20" s="33" t="n"/>
      <c r="H20" s="34">
        <f>IF(E20="","",E20*F20+N(G20))</f>
        <v/>
      </c>
    </row>
    <row r="21">
      <c r="E21" s="33" t="n"/>
      <c r="F21" s="33" t="n"/>
      <c r="G21" s="33" t="n"/>
      <c r="H21" s="34">
        <f>IF(E21="","",E21*F21+N(G21))</f>
        <v/>
      </c>
    </row>
    <row r="22">
      <c r="E22" s="33" t="n"/>
      <c r="F22" s="33" t="n"/>
      <c r="G22" s="33" t="n"/>
      <c r="H22" s="34">
        <f>IF(E22="","",E22*F22+N(G22))</f>
        <v/>
      </c>
    </row>
    <row r="23">
      <c r="E23" s="33" t="n"/>
      <c r="F23" s="33" t="n"/>
      <c r="G23" s="33" t="n"/>
      <c r="H23" s="34">
        <f>IF(E23="","",E23*F23+N(G23))</f>
        <v/>
      </c>
    </row>
    <row r="24">
      <c r="E24" s="33" t="n"/>
      <c r="F24" s="33" t="n"/>
      <c r="G24" s="33" t="n"/>
      <c r="H24" s="34">
        <f>IF(E24="","",E24*F24+N(G24))</f>
        <v/>
      </c>
    </row>
    <row r="25">
      <c r="E25" s="33" t="n"/>
      <c r="F25" s="33" t="n"/>
      <c r="G25" s="33" t="n"/>
      <c r="H25" s="34">
        <f>IF(E25="","",E25*F25+N(G25))</f>
        <v/>
      </c>
    </row>
    <row r="26">
      <c r="E26" s="33" t="n"/>
      <c r="F26" s="33" t="n"/>
      <c r="G26" s="33" t="n"/>
      <c r="H26" s="34">
        <f>IF(E26="","",E26*F26+N(G26))</f>
        <v/>
      </c>
    </row>
    <row r="27">
      <c r="E27" s="33" t="n"/>
      <c r="F27" s="33" t="n"/>
      <c r="G27" s="33" t="n"/>
      <c r="H27" s="34">
        <f>IF(E27="","",E27*F27+N(G27))</f>
        <v/>
      </c>
    </row>
    <row r="28">
      <c r="E28" s="33" t="n"/>
      <c r="F28" s="33" t="n"/>
      <c r="G28" s="33" t="n"/>
      <c r="H28" s="34">
        <f>IF(E28="","",E28*F28+N(G28))</f>
        <v/>
      </c>
    </row>
    <row r="29">
      <c r="E29" s="33" t="n"/>
      <c r="F29" s="33" t="n"/>
      <c r="G29" s="33" t="n"/>
      <c r="H29" s="34">
        <f>IF(E29="","",E29*F29+N(G29))</f>
        <v/>
      </c>
    </row>
    <row r="30">
      <c r="E30" s="33" t="n"/>
      <c r="F30" s="33" t="n"/>
      <c r="G30" s="33" t="n"/>
      <c r="H30" s="34">
        <f>IF(E30="","",E30*F30+N(G30))</f>
        <v/>
      </c>
    </row>
    <row r="31">
      <c r="E31" s="33" t="n"/>
      <c r="F31" s="33" t="n"/>
      <c r="G31" s="33" t="n"/>
      <c r="H31" s="34">
        <f>IF(E31="","",E31*F31+N(G31))</f>
        <v/>
      </c>
    </row>
    <row r="32">
      <c r="E32" s="33" t="n"/>
      <c r="F32" s="33" t="n"/>
      <c r="G32" s="33" t="n"/>
      <c r="H32" s="34">
        <f>IF(E32="","",E32*F32+N(G32))</f>
        <v/>
      </c>
    </row>
    <row r="33">
      <c r="E33" s="33" t="n"/>
      <c r="F33" s="33" t="n"/>
      <c r="G33" s="33" t="n"/>
      <c r="H33" s="34">
        <f>IF(E33="","",E33*F33+N(G33))</f>
        <v/>
      </c>
    </row>
    <row r="34">
      <c r="E34" s="33" t="n"/>
      <c r="F34" s="33" t="n"/>
      <c r="G34" s="33" t="n"/>
      <c r="H34" s="34">
        <f>IF(E34="","",E34*F34+N(G34))</f>
        <v/>
      </c>
    </row>
    <row r="35">
      <c r="E35" s="33" t="n"/>
      <c r="F35" s="33" t="n"/>
      <c r="G35" s="33" t="n"/>
      <c r="H35" s="34">
        <f>IF(E35="","",E35*F35+N(G35))</f>
        <v/>
      </c>
    </row>
    <row r="36">
      <c r="E36" s="33" t="n"/>
      <c r="F36" s="33" t="n"/>
      <c r="G36" s="33" t="n"/>
      <c r="H36" s="34">
        <f>IF(E36="","",E36*F36+N(G36))</f>
        <v/>
      </c>
    </row>
    <row r="37">
      <c r="E37" s="33" t="n"/>
      <c r="F37" s="33" t="n"/>
      <c r="G37" s="33" t="n"/>
      <c r="H37" s="34">
        <f>IF(E37="","",E37*F37+N(G37))</f>
        <v/>
      </c>
    </row>
    <row r="38">
      <c r="E38" s="33" t="n"/>
      <c r="F38" s="33" t="n"/>
      <c r="G38" s="33" t="n"/>
      <c r="H38" s="34">
        <f>IF(E38="","",E38*F38+N(G38))</f>
        <v/>
      </c>
    </row>
    <row r="39">
      <c r="E39" s="33" t="n"/>
      <c r="F39" s="33" t="n"/>
      <c r="G39" s="33" t="n"/>
      <c r="H39" s="34">
        <f>IF(E39="","",E39*F39+N(G39))</f>
        <v/>
      </c>
    </row>
    <row r="40">
      <c r="E40" s="33" t="n"/>
      <c r="F40" s="33" t="n"/>
      <c r="G40" s="33" t="n"/>
      <c r="H40" s="34">
        <f>IF(E40="","",E40*F40+N(G40))</f>
        <v/>
      </c>
    </row>
    <row r="41">
      <c r="E41" s="33" t="n"/>
      <c r="F41" s="33" t="n"/>
      <c r="G41" s="33" t="n"/>
      <c r="H41" s="34">
        <f>IF(E41="","",E41*F41+N(G41))</f>
        <v/>
      </c>
    </row>
    <row r="42">
      <c r="E42" s="33" t="n"/>
      <c r="F42" s="33" t="n"/>
      <c r="G42" s="33" t="n"/>
      <c r="H42" s="34">
        <f>IF(E42="","",E42*F42+N(G42))</f>
        <v/>
      </c>
    </row>
    <row r="43">
      <c r="E43" s="33" t="n"/>
      <c r="F43" s="33" t="n"/>
      <c r="G43" s="33" t="n"/>
      <c r="H43" s="34">
        <f>IF(E43="","",E43*F43+N(G43))</f>
        <v/>
      </c>
    </row>
    <row r="44">
      <c r="E44" s="33" t="n"/>
      <c r="F44" s="33" t="n"/>
      <c r="G44" s="33" t="n"/>
      <c r="H44" s="34">
        <f>IF(E44="","",E44*F44+N(G44))</f>
        <v/>
      </c>
    </row>
    <row r="45">
      <c r="E45" s="33" t="n"/>
      <c r="F45" s="33" t="n"/>
      <c r="G45" s="33" t="n"/>
      <c r="H45" s="34">
        <f>IF(E45="","",E45*F45+N(G45))</f>
        <v/>
      </c>
    </row>
    <row r="46">
      <c r="E46" s="33" t="n"/>
      <c r="F46" s="33" t="n"/>
      <c r="G46" s="33" t="n"/>
      <c r="H46" s="34">
        <f>IF(E46="","",E46*F46+N(G46))</f>
        <v/>
      </c>
    </row>
    <row r="47">
      <c r="E47" s="33" t="n"/>
      <c r="F47" s="33" t="n"/>
      <c r="G47" s="33" t="n"/>
      <c r="H47" s="34">
        <f>IF(E47="","",E47*F47+N(G47))</f>
        <v/>
      </c>
    </row>
    <row r="48">
      <c r="E48" s="33" t="n"/>
      <c r="F48" s="33" t="n"/>
      <c r="G48" s="33" t="n"/>
      <c r="H48" s="34">
        <f>IF(E48="","",E48*F48+N(G48))</f>
        <v/>
      </c>
    </row>
    <row r="49">
      <c r="E49" s="33" t="n"/>
      <c r="F49" s="33" t="n"/>
      <c r="G49" s="33" t="n"/>
      <c r="H49" s="34">
        <f>IF(E49="","",E49*F49+N(G49))</f>
        <v/>
      </c>
    </row>
    <row r="50">
      <c r="E50" s="33" t="n"/>
      <c r="F50" s="33" t="n"/>
      <c r="G50" s="33" t="n"/>
      <c r="H50" s="34">
        <f>IF(E50="","",E50*F50+N(G50))</f>
        <v/>
      </c>
    </row>
    <row r="51">
      <c r="E51" s="33" t="n"/>
      <c r="F51" s="33" t="n"/>
      <c r="G51" s="33" t="n"/>
      <c r="H51" s="34">
        <f>IF(E51="","",E51*F51+N(G51))</f>
        <v/>
      </c>
    </row>
    <row r="52">
      <c r="E52" s="33" t="n"/>
      <c r="F52" s="33" t="n"/>
      <c r="G52" s="33" t="n"/>
      <c r="H52" s="34">
        <f>IF(E52="","",E52*F52+N(G52))</f>
        <v/>
      </c>
    </row>
    <row r="53">
      <c r="E53" s="33" t="n"/>
      <c r="F53" s="33" t="n"/>
      <c r="G53" s="33" t="n"/>
      <c r="H53" s="34">
        <f>IF(E53="","",E53*F53+N(G53))</f>
        <v/>
      </c>
    </row>
    <row r="54">
      <c r="E54" s="33" t="n"/>
      <c r="F54" s="33" t="n"/>
      <c r="G54" s="33" t="n"/>
      <c r="H54" s="34">
        <f>IF(E54="","",E54*F54+N(G54))</f>
        <v/>
      </c>
    </row>
    <row r="55">
      <c r="E55" s="33" t="n"/>
      <c r="F55" s="33" t="n"/>
      <c r="G55" s="33" t="n"/>
      <c r="H55" s="34">
        <f>IF(E55="","",E55*F55+N(G55))</f>
        <v/>
      </c>
    </row>
    <row r="56">
      <c r="E56" s="33" t="n"/>
      <c r="F56" s="33" t="n"/>
      <c r="G56" s="33" t="n"/>
      <c r="H56" s="34">
        <f>IF(E56="","",E56*F56+N(G56))</f>
        <v/>
      </c>
    </row>
    <row r="57">
      <c r="E57" s="33" t="n"/>
      <c r="F57" s="33" t="n"/>
      <c r="G57" s="33" t="n"/>
      <c r="H57" s="34">
        <f>IF(E57="","",E57*F57+N(G57))</f>
        <v/>
      </c>
    </row>
    <row r="58">
      <c r="E58" s="33" t="n"/>
      <c r="F58" s="33" t="n"/>
      <c r="G58" s="33" t="n"/>
      <c r="H58" s="34">
        <f>IF(E58="","",E58*F58+N(G58))</f>
        <v/>
      </c>
    </row>
    <row r="59">
      <c r="E59" s="33" t="n"/>
      <c r="F59" s="33" t="n"/>
      <c r="G59" s="33" t="n"/>
      <c r="H59" s="34">
        <f>IF(E59="","",E59*F59+N(G59))</f>
        <v/>
      </c>
    </row>
    <row r="60">
      <c r="E60" s="33" t="n"/>
      <c r="F60" s="33" t="n"/>
      <c r="G60" s="33" t="n"/>
      <c r="H60" s="34">
        <f>IF(E60="","",E60*F60+N(G60))</f>
        <v/>
      </c>
    </row>
    <row r="61">
      <c r="E61" s="33" t="n"/>
      <c r="F61" s="33" t="n"/>
      <c r="G61" s="33" t="n"/>
      <c r="H61" s="34">
        <f>IF(E61="","",E61*F61+N(G61))</f>
        <v/>
      </c>
    </row>
    <row r="62">
      <c r="E62" s="33" t="n"/>
      <c r="F62" s="33" t="n"/>
      <c r="G62" s="33" t="n"/>
      <c r="H62" s="34">
        <f>IF(E62="","",E62*F62+N(G62))</f>
        <v/>
      </c>
    </row>
    <row r="63">
      <c r="E63" s="33" t="n"/>
      <c r="F63" s="33" t="n"/>
      <c r="G63" s="33" t="n"/>
      <c r="H63" s="34">
        <f>IF(E63="","",E63*F63+N(G63))</f>
        <v/>
      </c>
    </row>
    <row r="64">
      <c r="E64" s="33" t="n"/>
      <c r="F64" s="33" t="n"/>
      <c r="G64" s="33" t="n"/>
      <c r="H64" s="34">
        <f>IF(E64="","",E64*F64+N(G64))</f>
        <v/>
      </c>
    </row>
    <row r="65">
      <c r="E65" s="33" t="n"/>
      <c r="F65" s="33" t="n"/>
      <c r="G65" s="33" t="n"/>
      <c r="H65" s="34">
        <f>IF(E65="","",E65*F65+N(G65))</f>
        <v/>
      </c>
    </row>
    <row r="66">
      <c r="E66" s="33" t="n"/>
      <c r="F66" s="33" t="n"/>
      <c r="G66" s="33" t="n"/>
      <c r="H66" s="34">
        <f>IF(E66="","",E66*F66+N(G66))</f>
        <v/>
      </c>
    </row>
    <row r="67">
      <c r="E67" s="33" t="n"/>
      <c r="F67" s="33" t="n"/>
      <c r="G67" s="33" t="n"/>
      <c r="H67" s="34">
        <f>IF(E67="","",E67*F67+N(G67))</f>
        <v/>
      </c>
    </row>
    <row r="68">
      <c r="E68" s="33" t="n"/>
      <c r="F68" s="33" t="n"/>
      <c r="G68" s="33" t="n"/>
      <c r="H68" s="34">
        <f>IF(E68="","",E68*F68+N(G68))</f>
        <v/>
      </c>
    </row>
    <row r="69">
      <c r="E69" s="33" t="n"/>
      <c r="F69" s="33" t="n"/>
      <c r="G69" s="33" t="n"/>
      <c r="H69" s="34">
        <f>IF(E69="","",E69*F69+N(G69))</f>
        <v/>
      </c>
    </row>
    <row r="70">
      <c r="E70" s="33" t="n"/>
      <c r="F70" s="33" t="n"/>
      <c r="G70" s="33" t="n"/>
      <c r="H70" s="34">
        <f>IF(E70="","",E70*F70+N(G70))</f>
        <v/>
      </c>
    </row>
    <row r="71">
      <c r="E71" s="33" t="n"/>
      <c r="F71" s="33" t="n"/>
      <c r="G71" s="33" t="n"/>
      <c r="H71" s="34">
        <f>IF(E71="","",E71*F71+N(G71))</f>
        <v/>
      </c>
    </row>
    <row r="72">
      <c r="E72" s="33" t="n"/>
      <c r="F72" s="33" t="n"/>
      <c r="G72" s="33" t="n"/>
      <c r="H72" s="34">
        <f>IF(E72="","",E72*F72+N(G72))</f>
        <v/>
      </c>
    </row>
    <row r="73">
      <c r="E73" s="33" t="n"/>
      <c r="F73" s="33" t="n"/>
      <c r="G73" s="33" t="n"/>
      <c r="H73" s="34">
        <f>IF(E73="","",E73*F73+N(G73))</f>
        <v/>
      </c>
    </row>
    <row r="74">
      <c r="E74" s="33" t="n"/>
      <c r="F74" s="33" t="n"/>
      <c r="G74" s="33" t="n"/>
      <c r="H74" s="34">
        <f>IF(E74="","",E74*F74+N(G74))</f>
        <v/>
      </c>
    </row>
    <row r="75">
      <c r="E75" s="33" t="n"/>
      <c r="F75" s="33" t="n"/>
      <c r="G75" s="33" t="n"/>
      <c r="H75" s="34">
        <f>IF(E75="","",E75*F75+N(G75))</f>
        <v/>
      </c>
    </row>
    <row r="76">
      <c r="E76" s="33" t="n"/>
      <c r="F76" s="33" t="n"/>
      <c r="G76" s="33" t="n"/>
      <c r="H76" s="34">
        <f>IF(E76="","",E76*F76+N(G76))</f>
        <v/>
      </c>
    </row>
    <row r="77">
      <c r="E77" s="33" t="n"/>
      <c r="F77" s="33" t="n"/>
      <c r="G77" s="33" t="n"/>
      <c r="H77" s="34">
        <f>IF(E77="","",E77*F77+N(G77))</f>
        <v/>
      </c>
    </row>
    <row r="78">
      <c r="E78" s="33" t="n"/>
      <c r="F78" s="33" t="n"/>
      <c r="G78" s="33" t="n"/>
      <c r="H78" s="34">
        <f>IF(E78="","",E78*F78+N(G78))</f>
        <v/>
      </c>
    </row>
    <row r="79">
      <c r="E79" s="33" t="n"/>
      <c r="F79" s="33" t="n"/>
      <c r="G79" s="33" t="n"/>
      <c r="H79" s="34">
        <f>IF(E79="","",E79*F79+N(G79))</f>
        <v/>
      </c>
    </row>
    <row r="80">
      <c r="E80" s="33" t="n"/>
      <c r="F80" s="33" t="n"/>
      <c r="G80" s="33" t="n"/>
      <c r="H80" s="34">
        <f>IF(E80="","",E80*F80+N(G80))</f>
        <v/>
      </c>
    </row>
    <row r="81">
      <c r="E81" s="33" t="n"/>
      <c r="F81" s="33" t="n"/>
      <c r="G81" s="33" t="n"/>
      <c r="H81" s="34">
        <f>IF(E81="","",E81*F81+N(G81))</f>
        <v/>
      </c>
    </row>
    <row r="82">
      <c r="E82" s="33" t="n"/>
      <c r="F82" s="33" t="n"/>
      <c r="G82" s="33" t="n"/>
      <c r="H82" s="34">
        <f>IF(E82="","",E82*F82+N(G82))</f>
        <v/>
      </c>
    </row>
    <row r="83">
      <c r="E83" s="33" t="n"/>
      <c r="F83" s="33" t="n"/>
      <c r="G83" s="33" t="n"/>
      <c r="H83" s="34">
        <f>IF(E83="","",E83*F83+N(G83))</f>
        <v/>
      </c>
    </row>
    <row r="84">
      <c r="E84" s="33" t="n"/>
      <c r="F84" s="33" t="n"/>
      <c r="G84" s="33" t="n"/>
      <c r="H84" s="34">
        <f>IF(E84="","",E84*F84+N(G84))</f>
        <v/>
      </c>
    </row>
    <row r="85">
      <c r="E85" s="33" t="n"/>
      <c r="F85" s="33" t="n"/>
      <c r="G85" s="33" t="n"/>
      <c r="H85" s="34">
        <f>IF(E85="","",E85*F85+N(G85))</f>
        <v/>
      </c>
    </row>
    <row r="86">
      <c r="E86" s="33" t="n"/>
      <c r="F86" s="33" t="n"/>
      <c r="G86" s="33" t="n"/>
      <c r="H86" s="34">
        <f>IF(E86="","",E86*F86+N(G86))</f>
        <v/>
      </c>
    </row>
    <row r="87">
      <c r="E87" s="33" t="n"/>
      <c r="F87" s="33" t="n"/>
      <c r="G87" s="33" t="n"/>
      <c r="H87" s="34">
        <f>IF(E87="","",E87*F87+N(G87))</f>
        <v/>
      </c>
    </row>
    <row r="88">
      <c r="E88" s="33" t="n"/>
      <c r="F88" s="33" t="n"/>
      <c r="G88" s="33" t="n"/>
      <c r="H88" s="34">
        <f>IF(E88="","",E88*F88+N(G88))</f>
        <v/>
      </c>
    </row>
    <row r="89">
      <c r="E89" s="33" t="n"/>
      <c r="F89" s="33" t="n"/>
      <c r="G89" s="33" t="n"/>
      <c r="H89" s="34">
        <f>IF(E89="","",E89*F89+N(G89))</f>
        <v/>
      </c>
    </row>
    <row r="90">
      <c r="E90" s="33" t="n"/>
      <c r="F90" s="33" t="n"/>
      <c r="G90" s="33" t="n"/>
      <c r="H90" s="34">
        <f>IF(E90="","",E90*F90+N(G90))</f>
        <v/>
      </c>
    </row>
    <row r="91">
      <c r="E91" s="33" t="n"/>
      <c r="F91" s="33" t="n"/>
      <c r="G91" s="33" t="n"/>
      <c r="H91" s="34">
        <f>IF(E91="","",E91*F91+N(G91))</f>
        <v/>
      </c>
    </row>
    <row r="92">
      <c r="E92" s="33" t="n"/>
      <c r="F92" s="33" t="n"/>
      <c r="G92" s="33" t="n"/>
      <c r="H92" s="34">
        <f>IF(E92="","",E92*F92+N(G92))</f>
        <v/>
      </c>
    </row>
    <row r="93">
      <c r="E93" s="33" t="n"/>
      <c r="F93" s="33" t="n"/>
      <c r="G93" s="33" t="n"/>
      <c r="H93" s="34">
        <f>IF(E93="","",E93*F93+N(G93))</f>
        <v/>
      </c>
    </row>
    <row r="94">
      <c r="E94" s="33" t="n"/>
      <c r="F94" s="33" t="n"/>
      <c r="G94" s="33" t="n"/>
      <c r="H94" s="34">
        <f>IF(E94="","",E94*F94+N(G94))</f>
        <v/>
      </c>
    </row>
    <row r="95">
      <c r="E95" s="33" t="n"/>
      <c r="F95" s="33" t="n"/>
      <c r="G95" s="33" t="n"/>
      <c r="H95" s="34">
        <f>IF(E95="","",E95*F95+N(G95))</f>
        <v/>
      </c>
    </row>
    <row r="96">
      <c r="E96" s="33" t="n"/>
      <c r="F96" s="33" t="n"/>
      <c r="G96" s="33" t="n"/>
      <c r="H96" s="34">
        <f>IF(E96="","",E96*F96+N(G96))</f>
        <v/>
      </c>
    </row>
    <row r="97">
      <c r="E97" s="33" t="n"/>
      <c r="F97" s="33" t="n"/>
      <c r="G97" s="33" t="n"/>
      <c r="H97" s="34">
        <f>IF(E97="","",E97*F97+N(G97))</f>
        <v/>
      </c>
    </row>
    <row r="98">
      <c r="E98" s="33" t="n"/>
      <c r="F98" s="33" t="n"/>
      <c r="G98" s="33" t="n"/>
      <c r="H98" s="34">
        <f>IF(E98="","",E98*F98+N(G98))</f>
        <v/>
      </c>
    </row>
    <row r="99">
      <c r="E99" s="33" t="n"/>
      <c r="F99" s="33" t="n"/>
      <c r="G99" s="33" t="n"/>
      <c r="H99" s="34">
        <f>IF(E99="","",E99*F99+N(G99))</f>
        <v/>
      </c>
    </row>
    <row r="100">
      <c r="E100" s="33" t="n"/>
      <c r="F100" s="33" t="n"/>
      <c r="G100" s="33" t="n"/>
      <c r="H100" s="34">
        <f>IF(E100="","",E100*F100+N(G100))</f>
        <v/>
      </c>
    </row>
    <row r="101">
      <c r="E101" s="33" t="n"/>
      <c r="F101" s="33" t="n"/>
      <c r="G101" s="33" t="n"/>
      <c r="H101" s="34">
        <f>IF(E101="","",E101*F101+N(G101))</f>
        <v/>
      </c>
    </row>
    <row r="102">
      <c r="E102" s="33" t="n"/>
      <c r="F102" s="33" t="n"/>
      <c r="G102" s="33" t="n"/>
      <c r="H102" s="34">
        <f>IF(E102="","",E102*F102+N(G102))</f>
        <v/>
      </c>
    </row>
    <row r="103">
      <c r="E103" s="33" t="n"/>
      <c r="F103" s="33" t="n"/>
      <c r="G103" s="33" t="n"/>
      <c r="H103" s="34">
        <f>IF(E103="","",E103*F103+N(G103))</f>
        <v/>
      </c>
    </row>
    <row r="104">
      <c r="E104" s="33" t="n"/>
      <c r="F104" s="33" t="n"/>
      <c r="G104" s="33" t="n"/>
      <c r="H104" s="34">
        <f>IF(E104="","",E104*F104+N(G104))</f>
        <v/>
      </c>
    </row>
    <row r="105">
      <c r="E105" s="33" t="n"/>
      <c r="F105" s="33" t="n"/>
      <c r="G105" s="33" t="n"/>
      <c r="H105" s="34">
        <f>IF(E105="","",E105*F105+N(G105))</f>
        <v/>
      </c>
    </row>
    <row r="106">
      <c r="E106" s="33" t="n"/>
      <c r="F106" s="33" t="n"/>
      <c r="G106" s="33" t="n"/>
      <c r="H106" s="34">
        <f>IF(E106="","",E106*F106+N(G106))</f>
        <v/>
      </c>
    </row>
    <row r="107">
      <c r="E107" s="33" t="n"/>
      <c r="F107" s="33" t="n"/>
      <c r="G107" s="33" t="n"/>
      <c r="H107" s="34">
        <f>IF(E107="","",E107*F107+N(G107))</f>
        <v/>
      </c>
    </row>
    <row r="108">
      <c r="E108" s="33" t="n"/>
      <c r="F108" s="33" t="n"/>
      <c r="G108" s="33" t="n"/>
      <c r="H108" s="34">
        <f>IF(E108="","",E108*F108+N(G108))</f>
        <v/>
      </c>
    </row>
    <row r="109">
      <c r="E109" s="33" t="n"/>
      <c r="F109" s="33" t="n"/>
      <c r="G109" s="33" t="n"/>
      <c r="H109" s="34">
        <f>IF(E109="","",E109*F109+N(G109))</f>
        <v/>
      </c>
    </row>
    <row r="110">
      <c r="E110" s="33" t="n"/>
      <c r="F110" s="33" t="n"/>
      <c r="G110" s="33" t="n"/>
      <c r="H110" s="34">
        <f>IF(E110="","",E110*F110+N(G110))</f>
        <v/>
      </c>
    </row>
    <row r="111">
      <c r="E111" s="33" t="n"/>
      <c r="F111" s="33" t="n"/>
      <c r="G111" s="33" t="n"/>
      <c r="H111" s="34">
        <f>IF(E111="","",E111*F111+N(G111))</f>
        <v/>
      </c>
    </row>
    <row r="112">
      <c r="E112" s="33" t="n"/>
      <c r="F112" s="33" t="n"/>
      <c r="G112" s="33" t="n"/>
      <c r="H112" s="34">
        <f>IF(E112="","",E112*F112+N(G112))</f>
        <v/>
      </c>
    </row>
    <row r="113">
      <c r="E113" s="33" t="n"/>
      <c r="F113" s="33" t="n"/>
      <c r="G113" s="33" t="n"/>
      <c r="H113" s="34">
        <f>IF(E113="","",E113*F113+N(G113))</f>
        <v/>
      </c>
    </row>
    <row r="114">
      <c r="E114" s="33" t="n"/>
      <c r="F114" s="33" t="n"/>
      <c r="G114" s="33" t="n"/>
      <c r="H114" s="34">
        <f>IF(E114="","",E114*F114+N(G114))</f>
        <v/>
      </c>
    </row>
    <row r="115">
      <c r="E115" s="33" t="n"/>
      <c r="F115" s="33" t="n"/>
      <c r="G115" s="33" t="n"/>
      <c r="H115" s="34">
        <f>IF(E115="","",E115*F115+N(G115))</f>
        <v/>
      </c>
    </row>
    <row r="116">
      <c r="E116" s="33" t="n"/>
      <c r="F116" s="33" t="n"/>
      <c r="G116" s="33" t="n"/>
      <c r="H116" s="34">
        <f>IF(E116="","",E116*F116+N(G116))</f>
        <v/>
      </c>
    </row>
    <row r="117">
      <c r="E117" s="33" t="n"/>
      <c r="F117" s="33" t="n"/>
      <c r="G117" s="33" t="n"/>
      <c r="H117" s="34">
        <f>IF(E117="","",E117*F117+N(G117))</f>
        <v/>
      </c>
    </row>
    <row r="118">
      <c r="E118" s="33" t="n"/>
      <c r="F118" s="33" t="n"/>
      <c r="G118" s="33" t="n"/>
      <c r="H118" s="34">
        <f>IF(E118="","",E118*F118+N(G118))</f>
        <v/>
      </c>
    </row>
    <row r="119">
      <c r="E119" s="33" t="n"/>
      <c r="F119" s="33" t="n"/>
      <c r="G119" s="33" t="n"/>
      <c r="H119" s="34">
        <f>IF(E119="","",E119*F119+N(G119))</f>
        <v/>
      </c>
    </row>
    <row r="120">
      <c r="E120" s="33" t="n"/>
      <c r="F120" s="33" t="n"/>
      <c r="G120" s="33" t="n"/>
      <c r="H120" s="34">
        <f>IF(E120="","",E120*F120+N(G120))</f>
        <v/>
      </c>
    </row>
    <row r="121">
      <c r="E121" s="33" t="n"/>
      <c r="F121" s="33" t="n"/>
      <c r="G121" s="33" t="n"/>
      <c r="H121" s="34">
        <f>IF(E121="","",E121*F121+N(G121))</f>
        <v/>
      </c>
    </row>
    <row r="122">
      <c r="E122" s="33" t="n"/>
      <c r="F122" s="33" t="n"/>
      <c r="G122" s="33" t="n"/>
      <c r="H122" s="34">
        <f>IF(E122="","",E122*F122+N(G122))</f>
        <v/>
      </c>
    </row>
    <row r="123">
      <c r="E123" s="33" t="n"/>
      <c r="F123" s="33" t="n"/>
      <c r="G123" s="33" t="n"/>
      <c r="H123" s="34">
        <f>IF(E123="","",E123*F123+N(G123))</f>
        <v/>
      </c>
    </row>
    <row r="124">
      <c r="E124" s="33" t="n"/>
      <c r="F124" s="33" t="n"/>
      <c r="G124" s="33" t="n"/>
      <c r="H124" s="34">
        <f>IF(E124="","",E124*F124+N(G124))</f>
        <v/>
      </c>
    </row>
    <row r="125">
      <c r="E125" s="33" t="n"/>
      <c r="F125" s="33" t="n"/>
      <c r="G125" s="33" t="n"/>
      <c r="H125" s="34">
        <f>IF(E125="","",E125*F125+N(G125))</f>
        <v/>
      </c>
    </row>
    <row r="126">
      <c r="E126" s="33" t="n"/>
      <c r="F126" s="33" t="n"/>
      <c r="G126" s="33" t="n"/>
      <c r="H126" s="34">
        <f>IF(E126="","",E126*F126+N(G126))</f>
        <v/>
      </c>
    </row>
    <row r="127">
      <c r="E127" s="33" t="n"/>
      <c r="F127" s="33" t="n"/>
      <c r="G127" s="33" t="n"/>
      <c r="H127" s="34">
        <f>IF(E127="","",E127*F127+N(G127))</f>
        <v/>
      </c>
    </row>
    <row r="128">
      <c r="E128" s="33" t="n"/>
      <c r="F128" s="33" t="n"/>
      <c r="G128" s="33" t="n"/>
      <c r="H128" s="34">
        <f>IF(E128="","",E128*F128+N(G128))</f>
        <v/>
      </c>
    </row>
    <row r="129">
      <c r="E129" s="33" t="n"/>
      <c r="F129" s="33" t="n"/>
      <c r="G129" s="33" t="n"/>
      <c r="H129" s="34">
        <f>IF(E129="","",E129*F129+N(G129))</f>
        <v/>
      </c>
    </row>
    <row r="130">
      <c r="E130" s="33" t="n"/>
      <c r="F130" s="33" t="n"/>
      <c r="G130" s="33" t="n"/>
      <c r="H130" s="34">
        <f>IF(E130="","",E130*F130+N(G130))</f>
        <v/>
      </c>
    </row>
    <row r="131">
      <c r="E131" s="33" t="n"/>
      <c r="F131" s="33" t="n"/>
      <c r="G131" s="33" t="n"/>
      <c r="H131" s="34">
        <f>IF(E131="","",E131*F131+N(G131))</f>
        <v/>
      </c>
    </row>
    <row r="132">
      <c r="E132" s="33" t="n"/>
      <c r="F132" s="33" t="n"/>
      <c r="G132" s="33" t="n"/>
      <c r="H132" s="34">
        <f>IF(E132="","",E132*F132+N(G132))</f>
        <v/>
      </c>
    </row>
    <row r="133">
      <c r="E133" s="33" t="n"/>
      <c r="F133" s="33" t="n"/>
      <c r="G133" s="33" t="n"/>
      <c r="H133" s="34">
        <f>IF(E133="","",E133*F133+N(G133))</f>
        <v/>
      </c>
    </row>
    <row r="134">
      <c r="E134" s="33" t="n"/>
      <c r="F134" s="33" t="n"/>
      <c r="G134" s="33" t="n"/>
      <c r="H134" s="34">
        <f>IF(E134="","",E134*F134+N(G134))</f>
        <v/>
      </c>
    </row>
    <row r="135">
      <c r="E135" s="33" t="n"/>
      <c r="F135" s="33" t="n"/>
      <c r="G135" s="33" t="n"/>
      <c r="H135" s="34">
        <f>IF(E135="","",E135*F135+N(G135))</f>
        <v/>
      </c>
    </row>
    <row r="136">
      <c r="E136" s="33" t="n"/>
      <c r="F136" s="33" t="n"/>
      <c r="G136" s="33" t="n"/>
      <c r="H136" s="34">
        <f>IF(E136="","",E136*F136+N(G136))</f>
        <v/>
      </c>
    </row>
    <row r="137">
      <c r="E137" s="33" t="n"/>
      <c r="F137" s="33" t="n"/>
      <c r="G137" s="33" t="n"/>
      <c r="H137" s="34">
        <f>IF(E137="","",E137*F137+N(G137))</f>
        <v/>
      </c>
    </row>
    <row r="138">
      <c r="E138" s="33" t="n"/>
      <c r="F138" s="33" t="n"/>
      <c r="G138" s="33" t="n"/>
      <c r="H138" s="34">
        <f>IF(E138="","",E138*F138+N(G138))</f>
        <v/>
      </c>
    </row>
    <row r="139">
      <c r="E139" s="33" t="n"/>
      <c r="F139" s="33" t="n"/>
      <c r="G139" s="33" t="n"/>
      <c r="H139" s="34">
        <f>IF(E139="","",E139*F139+N(G139))</f>
        <v/>
      </c>
    </row>
    <row r="140">
      <c r="E140" s="33" t="n"/>
      <c r="F140" s="33" t="n"/>
      <c r="G140" s="33" t="n"/>
      <c r="H140" s="34">
        <f>IF(E140="","",E140*F140+N(G140))</f>
        <v/>
      </c>
    </row>
    <row r="141">
      <c r="E141" s="33" t="n"/>
      <c r="F141" s="33" t="n"/>
      <c r="G141" s="33" t="n"/>
      <c r="H141" s="34">
        <f>IF(E141="","",E141*F141+N(G141))</f>
        <v/>
      </c>
    </row>
    <row r="142">
      <c r="E142" s="33" t="n"/>
      <c r="F142" s="33" t="n"/>
      <c r="G142" s="33" t="n"/>
      <c r="H142" s="34">
        <f>IF(E142="","",E142*F142+N(G142))</f>
        <v/>
      </c>
    </row>
    <row r="143">
      <c r="E143" s="33" t="n"/>
      <c r="F143" s="33" t="n"/>
      <c r="G143" s="33" t="n"/>
      <c r="H143" s="34">
        <f>IF(E143="","",E143*F143+N(G143))</f>
        <v/>
      </c>
    </row>
    <row r="144">
      <c r="E144" s="33" t="n"/>
      <c r="F144" s="33" t="n"/>
      <c r="G144" s="33" t="n"/>
      <c r="H144" s="34">
        <f>IF(E144="","",E144*F144+N(G144))</f>
        <v/>
      </c>
    </row>
    <row r="145">
      <c r="E145" s="33" t="n"/>
      <c r="F145" s="33" t="n"/>
      <c r="G145" s="33" t="n"/>
      <c r="H145" s="34">
        <f>IF(E145="","",E145*F145+N(G145))</f>
        <v/>
      </c>
    </row>
    <row r="146">
      <c r="E146" s="33" t="n"/>
      <c r="F146" s="33" t="n"/>
      <c r="G146" s="33" t="n"/>
      <c r="H146" s="34">
        <f>IF(E146="","",E146*F146+N(G146))</f>
        <v/>
      </c>
    </row>
    <row r="147">
      <c r="E147" s="33" t="n"/>
      <c r="F147" s="33" t="n"/>
      <c r="G147" s="33" t="n"/>
      <c r="H147" s="34">
        <f>IF(E147="","",E147*F147+N(G147))</f>
        <v/>
      </c>
    </row>
    <row r="148">
      <c r="E148" s="33" t="n"/>
      <c r="F148" s="33" t="n"/>
      <c r="G148" s="33" t="n"/>
      <c r="H148" s="34">
        <f>IF(E148="","",E148*F148+N(G148))</f>
        <v/>
      </c>
    </row>
    <row r="149">
      <c r="E149" s="33" t="n"/>
      <c r="F149" s="33" t="n"/>
      <c r="G149" s="33" t="n"/>
      <c r="H149" s="34">
        <f>IF(E149="","",E149*F149+N(G149))</f>
        <v/>
      </c>
    </row>
    <row r="150">
      <c r="E150" s="33" t="n"/>
      <c r="F150" s="33" t="n"/>
      <c r="G150" s="33" t="n"/>
      <c r="H150" s="34">
        <f>IF(E150="","",E150*F150+N(G150))</f>
        <v/>
      </c>
    </row>
    <row r="151">
      <c r="E151" s="33" t="n"/>
      <c r="F151" s="33" t="n"/>
      <c r="G151" s="33" t="n"/>
      <c r="H151" s="34">
        <f>IF(E151="","",E151*F151+N(G151))</f>
        <v/>
      </c>
    </row>
    <row r="152">
      <c r="E152" s="33" t="n"/>
      <c r="F152" s="33" t="n"/>
      <c r="G152" s="33" t="n"/>
      <c r="H152" s="34">
        <f>IF(E152="","",E152*F152+N(G152))</f>
        <v/>
      </c>
    </row>
    <row r="153">
      <c r="E153" s="33" t="n"/>
      <c r="F153" s="33" t="n"/>
      <c r="G153" s="33" t="n"/>
      <c r="H153" s="34">
        <f>IF(E153="","",E153*F153+N(G153))</f>
        <v/>
      </c>
    </row>
    <row r="154">
      <c r="E154" s="33" t="n"/>
      <c r="F154" s="33" t="n"/>
      <c r="G154" s="33" t="n"/>
      <c r="H154" s="34">
        <f>IF(E154="","",E154*F154+N(G154))</f>
        <v/>
      </c>
    </row>
    <row r="155">
      <c r="E155" s="33" t="n"/>
      <c r="F155" s="33" t="n"/>
      <c r="G155" s="33" t="n"/>
      <c r="H155" s="34">
        <f>IF(E155="","",E155*F155+N(G155))</f>
        <v/>
      </c>
    </row>
    <row r="156">
      <c r="E156" s="33" t="n"/>
      <c r="F156" s="33" t="n"/>
      <c r="G156" s="33" t="n"/>
      <c r="H156" s="34">
        <f>IF(E156="","",E156*F156+N(G156))</f>
        <v/>
      </c>
    </row>
    <row r="157">
      <c r="E157" s="33" t="n"/>
      <c r="F157" s="33" t="n"/>
      <c r="G157" s="33" t="n"/>
      <c r="H157" s="34">
        <f>IF(E157="","",E157*F157+N(G157))</f>
        <v/>
      </c>
    </row>
    <row r="158">
      <c r="E158" s="33" t="n"/>
      <c r="F158" s="33" t="n"/>
      <c r="G158" s="33" t="n"/>
      <c r="H158" s="34">
        <f>IF(E158="","",E158*F158+N(G158))</f>
        <v/>
      </c>
    </row>
    <row r="159">
      <c r="E159" s="33" t="n"/>
      <c r="F159" s="33" t="n"/>
      <c r="G159" s="33" t="n"/>
      <c r="H159" s="34">
        <f>IF(E159="","",E159*F159+N(G159))</f>
        <v/>
      </c>
    </row>
    <row r="160">
      <c r="E160" s="33" t="n"/>
      <c r="F160" s="33" t="n"/>
      <c r="G160" s="33" t="n"/>
      <c r="H160" s="34">
        <f>IF(E160="","",E160*F160+N(G160))</f>
        <v/>
      </c>
    </row>
    <row r="161">
      <c r="E161" s="33" t="n"/>
      <c r="F161" s="33" t="n"/>
      <c r="G161" s="33" t="n"/>
      <c r="H161" s="34">
        <f>IF(E161="","",E161*F161+N(G161))</f>
        <v/>
      </c>
    </row>
    <row r="162">
      <c r="E162" s="33" t="n"/>
      <c r="F162" s="33" t="n"/>
      <c r="G162" s="33" t="n"/>
      <c r="H162" s="34">
        <f>IF(E162="","",E162*F162+N(G162))</f>
        <v/>
      </c>
    </row>
    <row r="163">
      <c r="E163" s="33" t="n"/>
      <c r="F163" s="33" t="n"/>
      <c r="G163" s="33" t="n"/>
      <c r="H163" s="34">
        <f>IF(E163="","",E163*F163+N(G163))</f>
        <v/>
      </c>
    </row>
    <row r="164">
      <c r="E164" s="33" t="n"/>
      <c r="F164" s="33" t="n"/>
      <c r="G164" s="33" t="n"/>
      <c r="H164" s="34">
        <f>IF(E164="","",E164*F164+N(G164))</f>
        <v/>
      </c>
    </row>
    <row r="165">
      <c r="E165" s="33" t="n"/>
      <c r="F165" s="33" t="n"/>
      <c r="G165" s="33" t="n"/>
      <c r="H165" s="34">
        <f>IF(E165="","",E165*F165+N(G165))</f>
        <v/>
      </c>
    </row>
    <row r="166">
      <c r="E166" s="33" t="n"/>
      <c r="F166" s="33" t="n"/>
      <c r="G166" s="33" t="n"/>
      <c r="H166" s="34">
        <f>IF(E166="","",E166*F166+N(G166))</f>
        <v/>
      </c>
    </row>
    <row r="167">
      <c r="E167" s="33" t="n"/>
      <c r="F167" s="33" t="n"/>
      <c r="G167" s="33" t="n"/>
      <c r="H167" s="34">
        <f>IF(E167="","",E167*F167+N(G167))</f>
        <v/>
      </c>
    </row>
    <row r="168">
      <c r="E168" s="33" t="n"/>
      <c r="F168" s="33" t="n"/>
      <c r="G168" s="33" t="n"/>
      <c r="H168" s="34">
        <f>IF(E168="","",E168*F168+N(G168))</f>
        <v/>
      </c>
    </row>
    <row r="169">
      <c r="E169" s="33" t="n"/>
      <c r="F169" s="33" t="n"/>
      <c r="G169" s="33" t="n"/>
      <c r="H169" s="34">
        <f>IF(E169="","",E169*F169+N(G169))</f>
        <v/>
      </c>
    </row>
    <row r="170">
      <c r="E170" s="33" t="n"/>
      <c r="F170" s="33" t="n"/>
      <c r="G170" s="33" t="n"/>
      <c r="H170" s="34">
        <f>IF(E170="","",E170*F170+N(G170))</f>
        <v/>
      </c>
    </row>
    <row r="171">
      <c r="E171" s="33" t="n"/>
      <c r="F171" s="33" t="n"/>
      <c r="G171" s="33" t="n"/>
      <c r="H171" s="34">
        <f>IF(E171="","",E171*F171+N(G171))</f>
        <v/>
      </c>
    </row>
    <row r="172">
      <c r="E172" s="33" t="n"/>
      <c r="F172" s="33" t="n"/>
      <c r="G172" s="33" t="n"/>
      <c r="H172" s="34">
        <f>IF(E172="","",E172*F172+N(G172))</f>
        <v/>
      </c>
    </row>
    <row r="173">
      <c r="E173" s="33" t="n"/>
      <c r="F173" s="33" t="n"/>
      <c r="G173" s="33" t="n"/>
      <c r="H173" s="34">
        <f>IF(E173="","",E173*F173+N(G173))</f>
        <v/>
      </c>
    </row>
    <row r="174">
      <c r="E174" s="33" t="n"/>
      <c r="F174" s="33" t="n"/>
      <c r="G174" s="33" t="n"/>
      <c r="H174" s="34">
        <f>IF(E174="","",E174*F174+N(G174))</f>
        <v/>
      </c>
    </row>
    <row r="175">
      <c r="E175" s="33" t="n"/>
      <c r="F175" s="33" t="n"/>
      <c r="G175" s="33" t="n"/>
      <c r="H175" s="34">
        <f>IF(E175="","",E175*F175+N(G175))</f>
        <v/>
      </c>
    </row>
    <row r="176">
      <c r="E176" s="33" t="n"/>
      <c r="F176" s="33" t="n"/>
      <c r="G176" s="33" t="n"/>
      <c r="H176" s="34">
        <f>IF(E176="","",E176*F176+N(G176))</f>
        <v/>
      </c>
    </row>
    <row r="177">
      <c r="E177" s="33" t="n"/>
      <c r="F177" s="33" t="n"/>
      <c r="G177" s="33" t="n"/>
      <c r="H177" s="34">
        <f>IF(E177="","",E177*F177+N(G177))</f>
        <v/>
      </c>
    </row>
    <row r="178">
      <c r="E178" s="33" t="n"/>
      <c r="F178" s="33" t="n"/>
      <c r="G178" s="33" t="n"/>
      <c r="H178" s="34">
        <f>IF(E178="","",E178*F178+N(G178))</f>
        <v/>
      </c>
    </row>
    <row r="179">
      <c r="E179" s="33" t="n"/>
      <c r="F179" s="33" t="n"/>
      <c r="G179" s="33" t="n"/>
      <c r="H179" s="34">
        <f>IF(E179="","",E179*F179+N(G179))</f>
        <v/>
      </c>
    </row>
    <row r="180">
      <c r="E180" s="33" t="n"/>
      <c r="F180" s="33" t="n"/>
      <c r="G180" s="33" t="n"/>
      <c r="H180" s="34">
        <f>IF(E180="","",E180*F180+N(G180))</f>
        <v/>
      </c>
    </row>
    <row r="181">
      <c r="E181" s="33" t="n"/>
      <c r="F181" s="33" t="n"/>
      <c r="G181" s="33" t="n"/>
      <c r="H181" s="34">
        <f>IF(E181="","",E181*F181+N(G181))</f>
        <v/>
      </c>
    </row>
    <row r="182">
      <c r="E182" s="33" t="n"/>
      <c r="F182" s="33" t="n"/>
      <c r="G182" s="33" t="n"/>
      <c r="H182" s="34">
        <f>IF(E182="","",E182*F182+N(G182))</f>
        <v/>
      </c>
    </row>
    <row r="183">
      <c r="E183" s="33" t="n"/>
      <c r="F183" s="33" t="n"/>
      <c r="G183" s="33" t="n"/>
      <c r="H183" s="34">
        <f>IF(E183="","",E183*F183+N(G183))</f>
        <v/>
      </c>
    </row>
    <row r="184">
      <c r="E184" s="33" t="n"/>
      <c r="F184" s="33" t="n"/>
      <c r="G184" s="33" t="n"/>
      <c r="H184" s="34">
        <f>IF(E184="","",E184*F184+N(G184))</f>
        <v/>
      </c>
    </row>
    <row r="185">
      <c r="E185" s="33" t="n"/>
      <c r="F185" s="33" t="n"/>
      <c r="G185" s="33" t="n"/>
      <c r="H185" s="34">
        <f>IF(E185="","",E185*F185+N(G185))</f>
        <v/>
      </c>
    </row>
    <row r="186">
      <c r="E186" s="33" t="n"/>
      <c r="F186" s="33" t="n"/>
      <c r="G186" s="33" t="n"/>
      <c r="H186" s="34">
        <f>IF(E186="","",E186*F186+N(G186))</f>
        <v/>
      </c>
    </row>
    <row r="187">
      <c r="E187" s="33" t="n"/>
      <c r="F187" s="33" t="n"/>
      <c r="G187" s="33" t="n"/>
      <c r="H187" s="34">
        <f>IF(E187="","",E187*F187+N(G187))</f>
        <v/>
      </c>
    </row>
    <row r="188">
      <c r="E188" s="33" t="n"/>
      <c r="F188" s="33" t="n"/>
      <c r="G188" s="33" t="n"/>
      <c r="H188" s="34">
        <f>IF(E188="","",E188*F188+N(G188))</f>
        <v/>
      </c>
    </row>
    <row r="189">
      <c r="E189" s="33" t="n"/>
      <c r="F189" s="33" t="n"/>
      <c r="G189" s="33" t="n"/>
      <c r="H189" s="34">
        <f>IF(E189="","",E189*F189+N(G189))</f>
        <v/>
      </c>
    </row>
    <row r="190">
      <c r="E190" s="33" t="n"/>
      <c r="F190" s="33" t="n"/>
      <c r="G190" s="33" t="n"/>
      <c r="H190" s="34">
        <f>IF(E190="","",E190*F190+N(G190))</f>
        <v/>
      </c>
    </row>
    <row r="191">
      <c r="E191" s="33" t="n"/>
      <c r="F191" s="33" t="n"/>
      <c r="G191" s="33" t="n"/>
      <c r="H191" s="34">
        <f>IF(E191="","",E191*F191+N(G191))</f>
        <v/>
      </c>
    </row>
    <row r="192">
      <c r="E192" s="33" t="n"/>
      <c r="F192" s="33" t="n"/>
      <c r="G192" s="33" t="n"/>
      <c r="H192" s="34">
        <f>IF(E192="","",E192*F192+N(G192))</f>
        <v/>
      </c>
    </row>
    <row r="193">
      <c r="E193" s="33" t="n"/>
      <c r="F193" s="33" t="n"/>
      <c r="G193" s="33" t="n"/>
      <c r="H193" s="34">
        <f>IF(E193="","",E193*F193+N(G193))</f>
        <v/>
      </c>
    </row>
    <row r="194">
      <c r="E194" s="33" t="n"/>
      <c r="F194" s="33" t="n"/>
      <c r="G194" s="33" t="n"/>
      <c r="H194" s="34">
        <f>IF(E194="","",E194*F194+N(G194))</f>
        <v/>
      </c>
    </row>
    <row r="195">
      <c r="E195" s="33" t="n"/>
      <c r="F195" s="33" t="n"/>
      <c r="G195" s="33" t="n"/>
      <c r="H195" s="34">
        <f>IF(E195="","",E195*F195+N(G195))</f>
        <v/>
      </c>
    </row>
    <row r="196">
      <c r="E196" s="33" t="n"/>
      <c r="F196" s="33" t="n"/>
      <c r="G196" s="33" t="n"/>
      <c r="H196" s="34">
        <f>IF(E196="","",E196*F196+N(G196))</f>
        <v/>
      </c>
    </row>
    <row r="197">
      <c r="E197" s="33" t="n"/>
      <c r="F197" s="33" t="n"/>
      <c r="G197" s="33" t="n"/>
      <c r="H197" s="34">
        <f>IF(E197="","",E197*F197+N(G197))</f>
        <v/>
      </c>
    </row>
    <row r="198">
      <c r="E198" s="33" t="n"/>
      <c r="F198" s="33" t="n"/>
      <c r="G198" s="33" t="n"/>
      <c r="H198" s="34">
        <f>IF(E198="","",E198*F198+N(G198))</f>
        <v/>
      </c>
    </row>
    <row r="199">
      <c r="E199" s="33" t="n"/>
      <c r="F199" s="33" t="n"/>
      <c r="G199" s="33" t="n"/>
      <c r="H199" s="34">
        <f>IF(E199="","",E199*F199+N(G199))</f>
        <v/>
      </c>
    </row>
    <row r="200">
      <c r="E200" s="33" t="n"/>
      <c r="F200" s="33" t="n"/>
      <c r="G200" s="33" t="n"/>
      <c r="H200" s="34">
        <f>IF(E200="","",E200*F200+N(G200))</f>
        <v/>
      </c>
    </row>
    <row r="201">
      <c r="E201" s="33" t="n"/>
      <c r="F201" s="33" t="n"/>
      <c r="G201" s="33" t="n"/>
      <c r="H201" s="34">
        <f>IF(E201="","",E201*F201+N(G201))</f>
        <v/>
      </c>
    </row>
    <row r="202">
      <c r="E202" s="33" t="n"/>
      <c r="F202" s="33" t="n"/>
      <c r="G202" s="33" t="n"/>
      <c r="H202" s="34">
        <f>IF(E202="","",E202*F202+N(G202))</f>
        <v/>
      </c>
    </row>
    <row r="203">
      <c r="E203" s="33" t="n"/>
      <c r="F203" s="33" t="n"/>
      <c r="G203" s="33" t="n"/>
      <c r="H203" s="34">
        <f>IF(E203="","",E203*F203+N(G203))</f>
        <v/>
      </c>
    </row>
    <row r="204">
      <c r="E204" s="33" t="n"/>
      <c r="F204" s="33" t="n"/>
      <c r="G204" s="33" t="n"/>
      <c r="H204" s="34">
        <f>IF(E204="","",E204*F204+N(G204))</f>
        <v/>
      </c>
    </row>
    <row r="205">
      <c r="E205" s="33" t="n"/>
      <c r="F205" s="33" t="n"/>
      <c r="G205" s="33" t="n"/>
      <c r="H205" s="34">
        <f>IF(E205="","",E205*F205+N(G205))</f>
        <v/>
      </c>
    </row>
  </sheetData>
  <mergeCells count="2">
    <mergeCell ref="A1:I1"/>
    <mergeCell ref="A2:I2"/>
  </mergeCells>
  <dataValidations count="3">
    <dataValidation sqref="A6:A205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B6:B205" showDropDown="0" showInputMessage="0" showErrorMessage="0" allowBlank="1" errorTitle="ค่าไม่ถูกต้อง" error="เลือกจากรายการเท่านั้น" type="list">
      <formula1>"หุ้นไทย,หุ้น US,ETF,กองทุน,Crypto,ทองคำ,พันธบัตร"</formula1>
    </dataValidation>
    <dataValidation sqref="I6:I205" showDropDown="0" showInputMessage="0" showErrorMessage="0" allowBlank="1" errorTitle="ค่าไม่ถูกต้อง" error="เลือกจากรายการเท่านั้น" type="list">
      <formula1>"THB,USD"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2026-10-06T17:08:04Z</dcterms:created>
  <dcterms:modified xmlns:dcterms="http://purl.org/dc/terms/" xmlns:xsi="http://www.w3.org/2001/XMLSchema-instance" xsi:type="dcterms:W3CDTF">2026-10-24T20:57:04Z</dcterms:modified>
</cp:coreProperties>
</file>